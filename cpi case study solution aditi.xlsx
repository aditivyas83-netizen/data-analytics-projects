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Coding ninja excel\"/>
    </mc:Choice>
  </mc:AlternateContent>
  <xr:revisionPtr revIDLastSave="0" documentId="13_ncr:1_{75F9EC4D-FD79-4B32-AC60-B037CF19142B}" xr6:coauthVersionLast="47" xr6:coauthVersionMax="47" xr10:uidLastSave="{00000000-0000-0000-0000-000000000000}"/>
  <bookViews>
    <workbookView xWindow="0" yWindow="300" windowWidth="20730" windowHeight="11160" firstSheet="4" activeTab="11" xr2:uid="{DF56D403-849A-42DA-BEC2-E7EDCA790544}"/>
  </bookViews>
  <sheets>
    <sheet name="Raw data" sheetId="1" r:id="rId1"/>
    <sheet name="Data cleaning" sheetId="2" r:id="rId2"/>
    <sheet name="Category distribution" sheetId="4" r:id="rId3"/>
    <sheet name="Data after buckets" sheetId="5" r:id="rId4"/>
    <sheet name="Q.1" sheetId="6" r:id="rId5"/>
    <sheet name="Q.2" sheetId="23" r:id="rId6"/>
    <sheet name="Q.3 part a" sheetId="8" r:id="rId7"/>
    <sheet name="Q.3 part b" sheetId="24" r:id="rId8"/>
    <sheet name="Q.4" sheetId="10" r:id="rId9"/>
    <sheet name="Q.5 data" sheetId="21" r:id="rId10"/>
    <sheet name="Q.5a" sheetId="18" r:id="rId11"/>
    <sheet name="Q.5b" sheetId="20" r:id="rId12"/>
  </sheets>
  <definedNames>
    <definedName name="_xlnm._FilterDatabase" localSheetId="3" hidden="1">'Data after buckets'!$A$1:$M$373</definedName>
    <definedName name="_xlnm._FilterDatabase" localSheetId="1" hidden="1">'Data cleaning'!$A$1:$AD$373</definedName>
    <definedName name="_xlchart.v1.0" hidden="1">'Q.3 part a'!$G$8:$G$18</definedName>
    <definedName name="_xlchart.v1.1" hidden="1">'Q.3 part a'!$H$6:$H$7</definedName>
    <definedName name="_xlchart.v1.2" hidden="1">'Q.3 part a'!$H$8:$H$18</definedName>
    <definedName name="_xlchart.v1.3" hidden="1">'Q.3 part b'!$D$19:$D$30</definedName>
    <definedName name="_xlchart.v1.4" hidden="1">'Q.3 part b'!$E$18</definedName>
    <definedName name="_xlchart.v1.5" hidden="1">'Q.3 part b'!$E$19:$E$30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8" l="1"/>
  <c r="F263" i="2" l="1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55" i="6"/>
  <c r="C54" i="6"/>
  <c r="C53" i="6"/>
  <c r="C52" i="6"/>
  <c r="C51" i="6"/>
  <c r="C50" i="6"/>
  <c r="C49" i="6"/>
  <c r="C48" i="6"/>
  <c r="C47" i="6"/>
  <c r="C46" i="6"/>
  <c r="B56" i="6"/>
  <c r="C36" i="6"/>
  <c r="C35" i="6"/>
  <c r="C34" i="6"/>
  <c r="C33" i="6"/>
  <c r="C32" i="6"/>
  <c r="C31" i="6"/>
  <c r="C30" i="6"/>
  <c r="C29" i="6"/>
  <c r="C28" i="6"/>
  <c r="C27" i="6"/>
  <c r="B37" i="6"/>
  <c r="C20" i="6"/>
  <c r="C19" i="6"/>
  <c r="C18" i="6"/>
  <c r="C17" i="6"/>
  <c r="C16" i="6"/>
  <c r="C15" i="6"/>
  <c r="C14" i="6"/>
  <c r="C13" i="6"/>
  <c r="C12" i="6"/>
  <c r="C11" i="6"/>
  <c r="B21" i="6"/>
  <c r="C40" i="20"/>
  <c r="E30" i="24"/>
  <c r="E29" i="24"/>
  <c r="E28" i="24"/>
  <c r="E27" i="24"/>
  <c r="E26" i="24"/>
  <c r="E25" i="24"/>
  <c r="E24" i="24"/>
  <c r="E23" i="24"/>
  <c r="E22" i="24"/>
  <c r="E21" i="24"/>
  <c r="E20" i="24"/>
  <c r="E19" i="24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N150" i="21"/>
  <c r="N149" i="21"/>
  <c r="N148" i="21"/>
  <c r="N147" i="21"/>
  <c r="N146" i="21"/>
  <c r="N145" i="21"/>
  <c r="N144" i="21"/>
  <c r="N143" i="21"/>
  <c r="N142" i="21"/>
  <c r="N141" i="21"/>
  <c r="N140" i="21"/>
  <c r="N139" i="21"/>
  <c r="N151" i="21" s="1"/>
  <c r="M137" i="21"/>
  <c r="M152" i="21" s="1"/>
  <c r="I137" i="21"/>
  <c r="I152" i="21" s="1"/>
  <c r="E137" i="21"/>
  <c r="E152" i="21" s="1"/>
  <c r="M136" i="21"/>
  <c r="L136" i="21"/>
  <c r="L137" i="21" s="1"/>
  <c r="L152" i="21" s="1"/>
  <c r="K136" i="21"/>
  <c r="K137" i="21" s="1"/>
  <c r="K152" i="21" s="1"/>
  <c r="J136" i="21"/>
  <c r="J137" i="21" s="1"/>
  <c r="J152" i="21" s="1"/>
  <c r="I136" i="21"/>
  <c r="H136" i="21"/>
  <c r="H137" i="21" s="1"/>
  <c r="H152" i="21" s="1"/>
  <c r="G136" i="21"/>
  <c r="G137" i="21" s="1"/>
  <c r="G152" i="21" s="1"/>
  <c r="F136" i="21"/>
  <c r="F137" i="21" s="1"/>
  <c r="F152" i="21" s="1"/>
  <c r="E136" i="21"/>
  <c r="D136" i="21"/>
  <c r="D137" i="21" s="1"/>
  <c r="D152" i="21" s="1"/>
  <c r="C136" i="21"/>
  <c r="C137" i="21" s="1"/>
  <c r="C152" i="21" s="1"/>
  <c r="B136" i="21"/>
  <c r="B137" i="21" s="1"/>
  <c r="B152" i="21" s="1"/>
  <c r="N135" i="21"/>
  <c r="N134" i="21"/>
  <c r="N133" i="21"/>
  <c r="N132" i="21"/>
  <c r="N131" i="21"/>
  <c r="N130" i="21"/>
  <c r="N129" i="21"/>
  <c r="N128" i="21"/>
  <c r="N136" i="21" s="1"/>
  <c r="N127" i="21"/>
  <c r="N126" i="21"/>
  <c r="N125" i="21"/>
  <c r="N123" i="21"/>
  <c r="N137" i="21" s="1"/>
  <c r="N152" i="21" l="1"/>
  <c r="D14" i="23" l="1"/>
  <c r="D15" i="23"/>
  <c r="D16" i="23"/>
  <c r="D17" i="23"/>
  <c r="D18" i="23"/>
  <c r="D19" i="23"/>
  <c r="D20" i="23"/>
  <c r="D21" i="23"/>
  <c r="D22" i="23"/>
  <c r="D13" i="23"/>
  <c r="B70" i="20" l="1"/>
  <c r="B71" i="20"/>
  <c r="B72" i="20"/>
  <c r="B73" i="20"/>
  <c r="B74" i="20"/>
  <c r="B75" i="20"/>
  <c r="B76" i="20"/>
  <c r="U265" i="2" l="1"/>
  <c r="U264" i="2"/>
  <c r="AD262" i="2" l="1"/>
  <c r="AD265" i="2" s="1"/>
  <c r="AD261" i="2"/>
  <c r="AD264" i="2" s="1"/>
  <c r="AD260" i="2"/>
  <c r="AD263" i="2" s="1"/>
  <c r="AC262" i="2"/>
  <c r="AC265" i="2" s="1"/>
  <c r="AC261" i="2"/>
  <c r="AC264" i="2" s="1"/>
  <c r="AC260" i="2"/>
  <c r="AC263" i="2" s="1"/>
  <c r="AB262" i="2"/>
  <c r="AB265" i="2" s="1"/>
  <c r="AB261" i="2"/>
  <c r="AB264" i="2" s="1"/>
  <c r="AB260" i="2"/>
  <c r="AB263" i="2" s="1"/>
  <c r="AA262" i="2"/>
  <c r="AA265" i="2" s="1"/>
  <c r="AA261" i="2"/>
  <c r="AA264" i="2" s="1"/>
  <c r="AA260" i="2"/>
  <c r="AA263" i="2" s="1"/>
  <c r="Z262" i="2"/>
  <c r="Z265" i="2" s="1"/>
  <c r="Z261" i="2"/>
  <c r="Z264" i="2" s="1"/>
  <c r="Z260" i="2"/>
  <c r="Z263" i="2" s="1"/>
  <c r="Y262" i="2"/>
  <c r="Y265" i="2" s="1"/>
  <c r="Y260" i="2"/>
  <c r="Y263" i="2" s="1"/>
  <c r="Y261" i="2"/>
  <c r="Y264" i="2" s="1"/>
  <c r="X265" i="2"/>
  <c r="X264" i="2"/>
  <c r="X263" i="2"/>
  <c r="W262" i="2"/>
  <c r="W265" i="2" s="1"/>
  <c r="W261" i="2"/>
  <c r="W264" i="2" s="1"/>
  <c r="W260" i="2"/>
  <c r="W263" i="2" s="1"/>
  <c r="V265" i="2"/>
  <c r="V264" i="2"/>
  <c r="V263" i="2"/>
  <c r="T262" i="2"/>
  <c r="T265" i="2" s="1"/>
  <c r="T261" i="2"/>
  <c r="T264" i="2" s="1"/>
  <c r="T260" i="2"/>
  <c r="T263" i="2" s="1"/>
  <c r="S262" i="2"/>
  <c r="S265" i="2" s="1"/>
  <c r="S261" i="2"/>
  <c r="S264" i="2" s="1"/>
  <c r="S260" i="2"/>
  <c r="S263" i="2" s="1"/>
  <c r="R262" i="2"/>
  <c r="R265" i="2" s="1"/>
  <c r="R261" i="2"/>
  <c r="R264" i="2" s="1"/>
  <c r="R260" i="2"/>
  <c r="R263" i="2" s="1"/>
  <c r="Q262" i="2"/>
  <c r="Q265" i="2" s="1"/>
  <c r="Q261" i="2"/>
  <c r="Q264" i="2" s="1"/>
  <c r="Q260" i="2"/>
  <c r="Q263" i="2" s="1"/>
  <c r="P265" i="2"/>
  <c r="P264" i="2"/>
  <c r="P263" i="2"/>
  <c r="O262" i="2"/>
  <c r="O265" i="2" s="1"/>
  <c r="O261" i="2"/>
  <c r="O264" i="2" s="1"/>
  <c r="O260" i="2"/>
  <c r="O263" i="2" s="1"/>
  <c r="N265" i="2"/>
  <c r="N264" i="2"/>
  <c r="N263" i="2"/>
  <c r="M265" i="2"/>
  <c r="M264" i="2"/>
  <c r="M263" i="2"/>
  <c r="L265" i="2"/>
  <c r="L264" i="2"/>
  <c r="L263" i="2"/>
  <c r="K265" i="2"/>
  <c r="K264" i="2"/>
  <c r="K263" i="2"/>
  <c r="J265" i="2"/>
  <c r="J264" i="2"/>
  <c r="J263" i="2"/>
  <c r="I265" i="2"/>
  <c r="I264" i="2"/>
  <c r="I263" i="2"/>
  <c r="H265" i="2"/>
  <c r="H264" i="2"/>
  <c r="H263" i="2"/>
  <c r="G265" i="2"/>
  <c r="G264" i="2"/>
  <c r="G263" i="2"/>
  <c r="F265" i="2"/>
  <c r="F264" i="2"/>
  <c r="E262" i="2"/>
  <c r="E265" i="2" s="1"/>
  <c r="E261" i="2"/>
  <c r="E264" i="2" s="1"/>
  <c r="E260" i="2"/>
  <c r="E263" i="2" s="1"/>
  <c r="D265" i="2"/>
  <c r="D264" i="2"/>
  <c r="D263" i="2"/>
  <c r="E41" i="10" l="1"/>
  <c r="D41" i="10"/>
  <c r="C41" i="10"/>
  <c r="B41" i="10"/>
  <c r="E40" i="10"/>
  <c r="D40" i="10"/>
  <c r="C40" i="10"/>
  <c r="B40" i="10"/>
  <c r="E39" i="10"/>
  <c r="D39" i="10"/>
  <c r="C39" i="10"/>
  <c r="B39" i="10"/>
  <c r="G8" i="8"/>
  <c r="G9" i="8"/>
  <c r="G10" i="8"/>
  <c r="G11" i="8"/>
  <c r="G12" i="8"/>
  <c r="G13" i="8"/>
  <c r="G14" i="8"/>
  <c r="G15" i="8"/>
  <c r="G16" i="8"/>
  <c r="G17" i="8"/>
  <c r="G18" i="8"/>
  <c r="G7" i="8"/>
  <c r="M3" i="5" l="1"/>
  <c r="M4" i="5"/>
  <c r="M6" i="5"/>
  <c r="M7" i="5"/>
  <c r="M9" i="5"/>
  <c r="M10" i="5"/>
  <c r="M12" i="5"/>
  <c r="M13" i="5"/>
  <c r="M15" i="5"/>
  <c r="M16" i="5"/>
  <c r="M18" i="5"/>
  <c r="M19" i="5"/>
  <c r="M21" i="5"/>
  <c r="M22" i="5"/>
  <c r="M24" i="5"/>
  <c r="M25" i="5"/>
  <c r="M27" i="5"/>
  <c r="M28" i="5"/>
  <c r="M30" i="5"/>
  <c r="M31" i="5"/>
  <c r="M33" i="5"/>
  <c r="M34" i="5"/>
  <c r="M36" i="5"/>
  <c r="M37" i="5"/>
  <c r="M39" i="5"/>
  <c r="M40" i="5"/>
  <c r="M42" i="5"/>
  <c r="M43" i="5"/>
  <c r="M45" i="5"/>
  <c r="M46" i="5"/>
  <c r="M48" i="5"/>
  <c r="M49" i="5"/>
  <c r="M51" i="5"/>
  <c r="M52" i="5"/>
  <c r="M54" i="5"/>
  <c r="M55" i="5"/>
  <c r="M57" i="5"/>
  <c r="M58" i="5"/>
  <c r="M60" i="5"/>
  <c r="M61" i="5"/>
  <c r="M63" i="5"/>
  <c r="M64" i="5"/>
  <c r="M66" i="5"/>
  <c r="M67" i="5"/>
  <c r="M69" i="5"/>
  <c r="M70" i="5"/>
  <c r="M72" i="5"/>
  <c r="M73" i="5"/>
  <c r="M75" i="5"/>
  <c r="M76" i="5"/>
  <c r="M78" i="5"/>
  <c r="M79" i="5"/>
  <c r="M81" i="5"/>
  <c r="M82" i="5"/>
  <c r="M84" i="5"/>
  <c r="M85" i="5"/>
  <c r="M87" i="5"/>
  <c r="M88" i="5"/>
  <c r="M90" i="5"/>
  <c r="M91" i="5"/>
  <c r="M93" i="5"/>
  <c r="M94" i="5"/>
  <c r="M96" i="5"/>
  <c r="M97" i="5"/>
  <c r="M99" i="5"/>
  <c r="M100" i="5"/>
  <c r="M102" i="5"/>
  <c r="M103" i="5"/>
  <c r="M105" i="5"/>
  <c r="M106" i="5"/>
  <c r="M108" i="5"/>
  <c r="M109" i="5"/>
  <c r="M111" i="5"/>
  <c r="M112" i="5"/>
  <c r="M114" i="5"/>
  <c r="M115" i="5"/>
  <c r="M116" i="5"/>
  <c r="M117" i="5"/>
  <c r="M118" i="5"/>
  <c r="M120" i="5"/>
  <c r="M121" i="5"/>
  <c r="M123" i="5"/>
  <c r="M124" i="5"/>
  <c r="M126" i="5"/>
  <c r="M127" i="5"/>
  <c r="M129" i="5"/>
  <c r="M130" i="5"/>
  <c r="M132" i="5"/>
  <c r="M133" i="5"/>
  <c r="M135" i="5"/>
  <c r="M136" i="5"/>
  <c r="M138" i="5"/>
  <c r="M139" i="5"/>
  <c r="M141" i="5"/>
  <c r="M142" i="5"/>
  <c r="M144" i="5"/>
  <c r="M145" i="5"/>
  <c r="M147" i="5"/>
  <c r="M148" i="5"/>
  <c r="M150" i="5"/>
  <c r="M151" i="5"/>
  <c r="M153" i="5"/>
  <c r="M154" i="5"/>
  <c r="M156" i="5"/>
  <c r="M157" i="5"/>
  <c r="M159" i="5"/>
  <c r="M160" i="5"/>
  <c r="M162" i="5"/>
  <c r="M163" i="5"/>
  <c r="M165" i="5"/>
  <c r="M166" i="5"/>
  <c r="M168" i="5"/>
  <c r="M169" i="5"/>
  <c r="M171" i="5"/>
  <c r="M172" i="5"/>
  <c r="M174" i="5"/>
  <c r="M175" i="5"/>
  <c r="M177" i="5"/>
  <c r="M178" i="5"/>
  <c r="M180" i="5"/>
  <c r="M181" i="5"/>
  <c r="M183" i="5"/>
  <c r="M184" i="5"/>
  <c r="M186" i="5"/>
  <c r="M187" i="5"/>
  <c r="M189" i="5"/>
  <c r="M190" i="5"/>
  <c r="M192" i="5"/>
  <c r="M193" i="5"/>
  <c r="M195" i="5"/>
  <c r="M196" i="5"/>
  <c r="M198" i="5"/>
  <c r="M199" i="5"/>
  <c r="M201" i="5"/>
  <c r="M202" i="5"/>
  <c r="M204" i="5"/>
  <c r="M205" i="5"/>
  <c r="M207" i="5"/>
  <c r="M208" i="5"/>
  <c r="M210" i="5"/>
  <c r="M211" i="5"/>
  <c r="M213" i="5"/>
  <c r="M214" i="5"/>
  <c r="M216" i="5"/>
  <c r="M217" i="5"/>
  <c r="M219" i="5"/>
  <c r="M220" i="5"/>
  <c r="M222" i="5"/>
  <c r="M223" i="5"/>
  <c r="M225" i="5"/>
  <c r="M226" i="5"/>
  <c r="M228" i="5"/>
  <c r="M229" i="5"/>
  <c r="M231" i="5"/>
  <c r="M232" i="5"/>
  <c r="M234" i="5"/>
  <c r="M235" i="5"/>
  <c r="M237" i="5"/>
  <c r="M238" i="5"/>
  <c r="M240" i="5"/>
  <c r="M241" i="5"/>
  <c r="M243" i="5"/>
  <c r="M244" i="5"/>
  <c r="M246" i="5"/>
  <c r="M247" i="5"/>
  <c r="M249" i="5"/>
  <c r="M250" i="5"/>
  <c r="M252" i="5"/>
  <c r="M253" i="5"/>
  <c r="M255" i="5"/>
  <c r="M256" i="5"/>
  <c r="M258" i="5"/>
  <c r="M259" i="5"/>
  <c r="M267" i="5"/>
  <c r="M268" i="5"/>
  <c r="M270" i="5"/>
  <c r="M271" i="5"/>
  <c r="M273" i="5"/>
  <c r="M274" i="5"/>
  <c r="M276" i="5"/>
  <c r="M277" i="5"/>
  <c r="M279" i="5"/>
  <c r="M280" i="5"/>
  <c r="M282" i="5"/>
  <c r="M283" i="5"/>
  <c r="M285" i="5"/>
  <c r="M286" i="5"/>
  <c r="M288" i="5"/>
  <c r="M289" i="5"/>
  <c r="M291" i="5"/>
  <c r="M292" i="5"/>
  <c r="M294" i="5"/>
  <c r="M295" i="5"/>
  <c r="M297" i="5"/>
  <c r="M298" i="5"/>
  <c r="M300" i="5"/>
  <c r="M301" i="5"/>
  <c r="M303" i="5"/>
  <c r="M304" i="5"/>
  <c r="M306" i="5"/>
  <c r="M307" i="5"/>
  <c r="M309" i="5"/>
  <c r="M310" i="5"/>
  <c r="M312" i="5"/>
  <c r="M313" i="5"/>
  <c r="M315" i="5"/>
  <c r="M316" i="5"/>
  <c r="M318" i="5"/>
  <c r="M319" i="5"/>
  <c r="M321" i="5"/>
  <c r="M322" i="5"/>
  <c r="M324" i="5"/>
  <c r="M325" i="5"/>
  <c r="M327" i="5"/>
  <c r="M328" i="5"/>
  <c r="M330" i="5"/>
  <c r="M331" i="5"/>
  <c r="M333" i="5"/>
  <c r="M334" i="5"/>
  <c r="M336" i="5"/>
  <c r="M337" i="5"/>
  <c r="M339" i="5"/>
  <c r="M340" i="5"/>
  <c r="M342" i="5"/>
  <c r="M343" i="5"/>
  <c r="M345" i="5"/>
  <c r="M346" i="5"/>
  <c r="M348" i="5"/>
  <c r="M349" i="5"/>
  <c r="M351" i="5"/>
  <c r="M352" i="5"/>
  <c r="M354" i="5"/>
  <c r="M355" i="5"/>
  <c r="M357" i="5"/>
  <c r="M358" i="5"/>
  <c r="M360" i="5"/>
  <c r="M361" i="5"/>
  <c r="M363" i="5"/>
  <c r="M364" i="5"/>
  <c r="M366" i="5"/>
  <c r="M367" i="5"/>
  <c r="M369" i="5"/>
  <c r="M370" i="5"/>
  <c r="M372" i="5"/>
  <c r="M373" i="5"/>
  <c r="L265" i="5"/>
  <c r="L264" i="5" s="1"/>
  <c r="L263" i="5" s="1"/>
  <c r="L262" i="5" s="1"/>
  <c r="L261" i="5" s="1"/>
  <c r="L260" i="5" s="1"/>
  <c r="K265" i="5"/>
  <c r="K264" i="5" s="1"/>
  <c r="K263" i="5" s="1"/>
  <c r="K262" i="5" s="1"/>
  <c r="K261" i="5" s="1"/>
  <c r="K260" i="5" s="1"/>
  <c r="J265" i="5"/>
  <c r="J264" i="5" s="1"/>
  <c r="J263" i="5" s="1"/>
  <c r="J262" i="5" s="1"/>
  <c r="J261" i="5" s="1"/>
  <c r="J260" i="5" s="1"/>
  <c r="I265" i="5"/>
  <c r="I264" i="5" s="1"/>
  <c r="I263" i="5" s="1"/>
  <c r="I262" i="5" s="1"/>
  <c r="I261" i="5" s="1"/>
  <c r="I260" i="5" s="1"/>
  <c r="H265" i="5"/>
  <c r="H264" i="5" s="1"/>
  <c r="H263" i="5" s="1"/>
  <c r="G3" i="5"/>
  <c r="G4" i="5"/>
  <c r="G6" i="5"/>
  <c r="G7" i="5"/>
  <c r="G9" i="5"/>
  <c r="G10" i="5"/>
  <c r="G12" i="5"/>
  <c r="G13" i="5"/>
  <c r="G15" i="5"/>
  <c r="G16" i="5"/>
  <c r="G18" i="5"/>
  <c r="G19" i="5"/>
  <c r="G21" i="5"/>
  <c r="G22" i="5"/>
  <c r="G24" i="5"/>
  <c r="G25" i="5"/>
  <c r="G27" i="5"/>
  <c r="G28" i="5"/>
  <c r="G30" i="5"/>
  <c r="G31" i="5"/>
  <c r="G33" i="5"/>
  <c r="G34" i="5"/>
  <c r="G36" i="5"/>
  <c r="G37" i="5"/>
  <c r="G39" i="5"/>
  <c r="G40" i="5"/>
  <c r="G42" i="5"/>
  <c r="G43" i="5"/>
  <c r="G45" i="5"/>
  <c r="G46" i="5"/>
  <c r="G48" i="5"/>
  <c r="G49" i="5"/>
  <c r="G51" i="5"/>
  <c r="G52" i="5"/>
  <c r="G54" i="5"/>
  <c r="G55" i="5"/>
  <c r="G57" i="5"/>
  <c r="G58" i="5"/>
  <c r="G60" i="5"/>
  <c r="G61" i="5"/>
  <c r="G63" i="5"/>
  <c r="G64" i="5"/>
  <c r="G66" i="5"/>
  <c r="G67" i="5"/>
  <c r="G69" i="5"/>
  <c r="G70" i="5"/>
  <c r="G72" i="5"/>
  <c r="G73" i="5"/>
  <c r="G75" i="5"/>
  <c r="G76" i="5"/>
  <c r="G78" i="5"/>
  <c r="G79" i="5"/>
  <c r="G81" i="5"/>
  <c r="G82" i="5"/>
  <c r="G84" i="5"/>
  <c r="G85" i="5"/>
  <c r="G87" i="5"/>
  <c r="G88" i="5"/>
  <c r="G90" i="5"/>
  <c r="G91" i="5"/>
  <c r="G93" i="5"/>
  <c r="G94" i="5"/>
  <c r="G96" i="5"/>
  <c r="G97" i="5"/>
  <c r="G99" i="5"/>
  <c r="G100" i="5"/>
  <c r="G102" i="5"/>
  <c r="G103" i="5"/>
  <c r="G105" i="5"/>
  <c r="G106" i="5"/>
  <c r="G108" i="5"/>
  <c r="G109" i="5"/>
  <c r="G111" i="5"/>
  <c r="G112" i="5"/>
  <c r="G114" i="5"/>
  <c r="G115" i="5"/>
  <c r="G116" i="5"/>
  <c r="G117" i="5"/>
  <c r="G118" i="5"/>
  <c r="G120" i="5"/>
  <c r="G121" i="5"/>
  <c r="G123" i="5"/>
  <c r="G124" i="5"/>
  <c r="G126" i="5"/>
  <c r="G127" i="5"/>
  <c r="G129" i="5"/>
  <c r="G130" i="5"/>
  <c r="G132" i="5"/>
  <c r="G133" i="5"/>
  <c r="G135" i="5"/>
  <c r="G136" i="5"/>
  <c r="G138" i="5"/>
  <c r="G139" i="5"/>
  <c r="G141" i="5"/>
  <c r="G142" i="5"/>
  <c r="G144" i="5"/>
  <c r="G145" i="5"/>
  <c r="G147" i="5"/>
  <c r="G148" i="5"/>
  <c r="G150" i="5"/>
  <c r="G151" i="5"/>
  <c r="G153" i="5"/>
  <c r="G154" i="5"/>
  <c r="G156" i="5"/>
  <c r="G157" i="5"/>
  <c r="G159" i="5"/>
  <c r="G160" i="5"/>
  <c r="G162" i="5"/>
  <c r="G163" i="5"/>
  <c r="G165" i="5"/>
  <c r="G166" i="5"/>
  <c r="G168" i="5"/>
  <c r="G169" i="5"/>
  <c r="G171" i="5"/>
  <c r="G172" i="5"/>
  <c r="G174" i="5"/>
  <c r="G175" i="5"/>
  <c r="G177" i="5"/>
  <c r="G178" i="5"/>
  <c r="G180" i="5"/>
  <c r="G181" i="5"/>
  <c r="G183" i="5"/>
  <c r="G184" i="5"/>
  <c r="G186" i="5"/>
  <c r="G187" i="5"/>
  <c r="G189" i="5"/>
  <c r="G190" i="5"/>
  <c r="G192" i="5"/>
  <c r="G193" i="5"/>
  <c r="G195" i="5"/>
  <c r="G196" i="5"/>
  <c r="G198" i="5"/>
  <c r="G199" i="5"/>
  <c r="G201" i="5"/>
  <c r="G202" i="5"/>
  <c r="G204" i="5"/>
  <c r="G205" i="5"/>
  <c r="G207" i="5"/>
  <c r="G208" i="5"/>
  <c r="G210" i="5"/>
  <c r="G211" i="5"/>
  <c r="G213" i="5"/>
  <c r="G214" i="5"/>
  <c r="G216" i="5"/>
  <c r="G217" i="5"/>
  <c r="G219" i="5"/>
  <c r="G220" i="5"/>
  <c r="G222" i="5"/>
  <c r="G223" i="5"/>
  <c r="G225" i="5"/>
  <c r="G226" i="5"/>
  <c r="G228" i="5"/>
  <c r="G229" i="5"/>
  <c r="G231" i="5"/>
  <c r="G232" i="5"/>
  <c r="G234" i="5"/>
  <c r="G235" i="5"/>
  <c r="G237" i="5"/>
  <c r="G238" i="5"/>
  <c r="G240" i="5"/>
  <c r="G241" i="5"/>
  <c r="G243" i="5"/>
  <c r="G244" i="5"/>
  <c r="G246" i="5"/>
  <c r="G247" i="5"/>
  <c r="G249" i="5"/>
  <c r="G250" i="5"/>
  <c r="G252" i="5"/>
  <c r="G253" i="5"/>
  <c r="G255" i="5"/>
  <c r="G256" i="5"/>
  <c r="G258" i="5"/>
  <c r="G259" i="5"/>
  <c r="G267" i="5"/>
  <c r="G268" i="5"/>
  <c r="G270" i="5"/>
  <c r="G271" i="5"/>
  <c r="G273" i="5"/>
  <c r="G274" i="5"/>
  <c r="G276" i="5"/>
  <c r="G277" i="5"/>
  <c r="G279" i="5"/>
  <c r="G280" i="5"/>
  <c r="G282" i="5"/>
  <c r="G283" i="5"/>
  <c r="G285" i="5"/>
  <c r="G286" i="5"/>
  <c r="G288" i="5"/>
  <c r="G289" i="5"/>
  <c r="G291" i="5"/>
  <c r="G292" i="5"/>
  <c r="G294" i="5"/>
  <c r="G295" i="5"/>
  <c r="G297" i="5"/>
  <c r="G298" i="5"/>
  <c r="G300" i="5"/>
  <c r="G301" i="5"/>
  <c r="G303" i="5"/>
  <c r="G304" i="5"/>
  <c r="G306" i="5"/>
  <c r="G307" i="5"/>
  <c r="G309" i="5"/>
  <c r="G310" i="5"/>
  <c r="G312" i="5"/>
  <c r="G313" i="5"/>
  <c r="G315" i="5"/>
  <c r="G316" i="5"/>
  <c r="G318" i="5"/>
  <c r="G319" i="5"/>
  <c r="G321" i="5"/>
  <c r="G322" i="5"/>
  <c r="G324" i="5"/>
  <c r="G325" i="5"/>
  <c r="G327" i="5"/>
  <c r="G328" i="5"/>
  <c r="G330" i="5"/>
  <c r="G331" i="5"/>
  <c r="G333" i="5"/>
  <c r="G334" i="5"/>
  <c r="G336" i="5"/>
  <c r="G337" i="5"/>
  <c r="G339" i="5"/>
  <c r="G340" i="5"/>
  <c r="G342" i="5"/>
  <c r="G343" i="5"/>
  <c r="G345" i="5"/>
  <c r="G346" i="5"/>
  <c r="G348" i="5"/>
  <c r="G349" i="5"/>
  <c r="G351" i="5"/>
  <c r="G352" i="5"/>
  <c r="G354" i="5"/>
  <c r="G355" i="5"/>
  <c r="G357" i="5"/>
  <c r="G358" i="5"/>
  <c r="G360" i="5"/>
  <c r="G361" i="5"/>
  <c r="G363" i="5"/>
  <c r="G364" i="5"/>
  <c r="G366" i="5"/>
  <c r="G367" i="5"/>
  <c r="G369" i="5"/>
  <c r="G370" i="5"/>
  <c r="G372" i="5"/>
  <c r="G37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2" i="5"/>
  <c r="M113" i="5"/>
  <c r="M110" i="5" l="1"/>
  <c r="G262" i="5"/>
  <c r="M257" i="5"/>
  <c r="G257" i="5"/>
  <c r="M371" i="5"/>
  <c r="G371" i="5"/>
  <c r="G110" i="5"/>
  <c r="M262" i="5"/>
  <c r="M368" i="5"/>
  <c r="G368" i="5"/>
  <c r="G113" i="5"/>
  <c r="G261" i="5" l="1"/>
  <c r="G260" i="5"/>
  <c r="M365" i="5"/>
  <c r="G365" i="5"/>
  <c r="M260" i="5"/>
  <c r="M261" i="5"/>
  <c r="M107" i="5"/>
  <c r="G107" i="5"/>
  <c r="G254" i="5"/>
  <c r="M254" i="5"/>
  <c r="M104" i="5" l="1"/>
  <c r="G104" i="5"/>
  <c r="M251" i="5"/>
  <c r="G251" i="5"/>
  <c r="G362" i="5"/>
  <c r="M362" i="5"/>
  <c r="F265" i="5"/>
  <c r="E265" i="5" l="1"/>
  <c r="E262" i="5"/>
  <c r="D262" i="5"/>
  <c r="D265" i="5"/>
  <c r="M248" i="5"/>
  <c r="G248" i="5"/>
  <c r="M101" i="5"/>
  <c r="G101" i="5"/>
  <c r="M359" i="5"/>
  <c r="G359" i="5"/>
  <c r="D261" i="5" l="1"/>
  <c r="D260" i="5"/>
  <c r="F264" i="5"/>
  <c r="E261" i="5"/>
  <c r="E260" i="5"/>
  <c r="G98" i="5"/>
  <c r="M98" i="5"/>
  <c r="M356" i="5"/>
  <c r="G356" i="5"/>
  <c r="D264" i="5"/>
  <c r="D263" i="5"/>
  <c r="M245" i="5"/>
  <c r="G245" i="5"/>
  <c r="E264" i="5"/>
  <c r="E263" i="5"/>
  <c r="M353" i="5" l="1"/>
  <c r="G353" i="5"/>
  <c r="M95" i="5"/>
  <c r="G95" i="5"/>
  <c r="F263" i="5"/>
  <c r="G242" i="5"/>
  <c r="M242" i="5"/>
  <c r="G350" i="5" l="1"/>
  <c r="M350" i="5"/>
  <c r="F262" i="5"/>
  <c r="M239" i="5"/>
  <c r="G239" i="5"/>
  <c r="M92" i="5"/>
  <c r="G92" i="5"/>
  <c r="M347" i="5" l="1"/>
  <c r="G347" i="5"/>
  <c r="M236" i="5"/>
  <c r="G236" i="5"/>
  <c r="M89" i="5"/>
  <c r="G89" i="5"/>
  <c r="F261" i="5"/>
  <c r="F260" i="5"/>
  <c r="M344" i="5" l="1"/>
  <c r="G344" i="5"/>
  <c r="M233" i="5"/>
  <c r="G233" i="5"/>
  <c r="G86" i="5"/>
  <c r="M86" i="5"/>
  <c r="M83" i="5" l="1"/>
  <c r="G83" i="5"/>
  <c r="M341" i="5"/>
  <c r="G341" i="5"/>
  <c r="G230" i="5"/>
  <c r="M230" i="5"/>
  <c r="G338" i="5" l="1"/>
  <c r="M338" i="5"/>
  <c r="M80" i="5"/>
  <c r="G80" i="5"/>
  <c r="M227" i="5"/>
  <c r="G227" i="5"/>
  <c r="M77" i="5" l="1"/>
  <c r="G77" i="5"/>
  <c r="M335" i="5"/>
  <c r="G335" i="5"/>
  <c r="M224" i="5"/>
  <c r="G224" i="5"/>
  <c r="G74" i="5" l="1"/>
  <c r="M74" i="5"/>
  <c r="M332" i="5"/>
  <c r="G332" i="5"/>
  <c r="M221" i="5"/>
  <c r="G221" i="5"/>
  <c r="M329" i="5" l="1"/>
  <c r="G329" i="5"/>
  <c r="M71" i="5"/>
  <c r="G71" i="5"/>
  <c r="G218" i="5"/>
  <c r="M218" i="5"/>
  <c r="G326" i="5" l="1"/>
  <c r="M326" i="5"/>
  <c r="M68" i="5"/>
  <c r="G68" i="5"/>
  <c r="M215" i="5"/>
  <c r="G215" i="5"/>
  <c r="M323" i="5" l="1"/>
  <c r="G323" i="5"/>
  <c r="M65" i="5"/>
  <c r="G65" i="5"/>
  <c r="M212" i="5"/>
  <c r="G212" i="5"/>
  <c r="M320" i="5" l="1"/>
  <c r="G320" i="5"/>
  <c r="G62" i="5"/>
  <c r="M62" i="5"/>
  <c r="M209" i="5"/>
  <c r="G209" i="5"/>
  <c r="G206" i="5" l="1"/>
  <c r="M206" i="5"/>
  <c r="M59" i="5"/>
  <c r="G59" i="5"/>
  <c r="M317" i="5"/>
  <c r="G317" i="5"/>
  <c r="M203" i="5" l="1"/>
  <c r="G203" i="5"/>
  <c r="M56" i="5"/>
  <c r="G56" i="5"/>
  <c r="G314" i="5"/>
  <c r="M314" i="5"/>
  <c r="M200" i="5" l="1"/>
  <c r="G200" i="5"/>
  <c r="M53" i="5"/>
  <c r="G53" i="5"/>
  <c r="M311" i="5"/>
  <c r="G311" i="5"/>
  <c r="M197" i="5" l="1"/>
  <c r="G197" i="5"/>
  <c r="G50" i="5"/>
  <c r="M50" i="5"/>
  <c r="M308" i="5"/>
  <c r="G308" i="5"/>
  <c r="G194" i="5" l="1"/>
  <c r="M194" i="5"/>
  <c r="M305" i="5"/>
  <c r="G305" i="5"/>
  <c r="M47" i="5"/>
  <c r="G47" i="5"/>
  <c r="G302" i="5" l="1"/>
  <c r="M302" i="5"/>
  <c r="M191" i="5"/>
  <c r="G191" i="5"/>
  <c r="M44" i="5"/>
  <c r="G44" i="5"/>
  <c r="M188" i="5" l="1"/>
  <c r="G188" i="5"/>
  <c r="M299" i="5"/>
  <c r="G299" i="5"/>
  <c r="M41" i="5"/>
  <c r="G41" i="5"/>
  <c r="M296" i="5" l="1"/>
  <c r="G296" i="5"/>
  <c r="M185" i="5"/>
  <c r="G185" i="5"/>
  <c r="G38" i="5"/>
  <c r="M38" i="5"/>
  <c r="M35" i="5" l="1"/>
  <c r="G35" i="5"/>
  <c r="M293" i="5"/>
  <c r="G293" i="5"/>
  <c r="G182" i="5"/>
  <c r="M182" i="5"/>
  <c r="M32" i="5" l="1"/>
  <c r="G32" i="5"/>
  <c r="G290" i="5"/>
  <c r="M290" i="5"/>
  <c r="M179" i="5"/>
  <c r="G179" i="5"/>
  <c r="M29" i="5" l="1"/>
  <c r="G29" i="5"/>
  <c r="M287" i="5"/>
  <c r="G287" i="5"/>
  <c r="M176" i="5"/>
  <c r="G176" i="5"/>
  <c r="G26" i="5" l="1"/>
  <c r="M26" i="5"/>
  <c r="M284" i="5"/>
  <c r="G284" i="5"/>
  <c r="M173" i="5"/>
  <c r="G173" i="5"/>
  <c r="M281" i="5" l="1"/>
  <c r="G281" i="5"/>
  <c r="M23" i="5"/>
  <c r="G23" i="5"/>
  <c r="G170" i="5"/>
  <c r="M170" i="5"/>
  <c r="G278" i="5" l="1"/>
  <c r="M278" i="5"/>
  <c r="M20" i="5"/>
  <c r="G20" i="5"/>
  <c r="M167" i="5"/>
  <c r="G167" i="5"/>
  <c r="M275" i="5" l="1"/>
  <c r="G275" i="5"/>
  <c r="M17" i="5"/>
  <c r="G17" i="5"/>
  <c r="M164" i="5"/>
  <c r="G164" i="5"/>
  <c r="M272" i="5" l="1"/>
  <c r="G272" i="5"/>
  <c r="G14" i="5"/>
  <c r="M14" i="5"/>
  <c r="M161" i="5"/>
  <c r="G161" i="5"/>
  <c r="G158" i="5" l="1"/>
  <c r="M158" i="5"/>
  <c r="M11" i="5"/>
  <c r="G11" i="5"/>
  <c r="M269" i="5"/>
  <c r="G269" i="5"/>
  <c r="M155" i="5" l="1"/>
  <c r="G155" i="5"/>
  <c r="M8" i="5"/>
  <c r="G8" i="5"/>
  <c r="G266" i="5"/>
  <c r="M266" i="5"/>
  <c r="M152" i="5" l="1"/>
  <c r="G152" i="5"/>
  <c r="M265" i="5"/>
  <c r="G265" i="5"/>
  <c r="M149" i="5" l="1"/>
  <c r="G149" i="5"/>
  <c r="G2" i="5"/>
  <c r="M2" i="5"/>
  <c r="M264" i="5"/>
  <c r="G264" i="5"/>
  <c r="M263" i="5" l="1"/>
  <c r="G263" i="5"/>
  <c r="G146" i="5"/>
  <c r="M146" i="5"/>
  <c r="M143" i="5" l="1"/>
  <c r="G143" i="5"/>
  <c r="M140" i="5" l="1"/>
  <c r="G140" i="5"/>
  <c r="M137" i="5" l="1"/>
  <c r="G137" i="5"/>
  <c r="G134" i="5" l="1"/>
  <c r="M134" i="5"/>
  <c r="M131" i="5" l="1"/>
  <c r="G131" i="5"/>
  <c r="M128" i="5" l="1"/>
  <c r="G128" i="5"/>
  <c r="M125" i="5" l="1"/>
  <c r="G125" i="5"/>
  <c r="G122" i="5" l="1"/>
  <c r="M122" i="5"/>
  <c r="M119" i="5" l="1"/>
  <c r="G119" i="5"/>
  <c r="M5" i="5"/>
  <c r="G5" i="5"/>
</calcChain>
</file>

<file path=xl/sharedStrings.xml><?xml version="1.0" encoding="utf-8"?>
<sst xmlns="http://schemas.openxmlformats.org/spreadsheetml/2006/main" count="3245" uniqueCount="246">
  <si>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</si>
  <si>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</si>
  <si>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</si>
  <si>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</si>
  <si>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</si>
  <si>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</si>
  <si>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</si>
  <si>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</si>
  <si>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</si>
  <si>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</si>
  <si>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</si>
  <si>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</si>
  <si>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</si>
  <si>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</si>
  <si>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</si>
  <si>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</si>
  <si>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</si>
  <si>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</si>
  <si>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</si>
  <si>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</si>
  <si>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</si>
  <si>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</si>
  <si>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</si>
  <si>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</si>
  <si>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</si>
  <si>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</si>
  <si>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</si>
  <si>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</si>
  <si>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</si>
  <si>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</si>
  <si>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</si>
  <si>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</si>
  <si>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</si>
  <si>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</si>
  <si>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</si>
  <si>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</si>
  <si>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</si>
  <si>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</si>
  <si>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</si>
  <si>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</si>
  <si>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</si>
  <si>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</si>
  <si>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</si>
  <si>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</si>
  <si>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</si>
  <si>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</si>
  <si>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</si>
  <si>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</si>
  <si>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</si>
  <si>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Transport and comm.</t>
  </si>
  <si>
    <t>FOOD</t>
  </si>
  <si>
    <t>LUXURY</t>
  </si>
  <si>
    <t>CLOTHING</t>
  </si>
  <si>
    <t>HOUSING</t>
  </si>
  <si>
    <t>FUEL AND LIGHT</t>
  </si>
  <si>
    <t>TRANSPORT AND</t>
  </si>
  <si>
    <t>COMMUNICATION</t>
  </si>
  <si>
    <t>EDUCATION</t>
  </si>
  <si>
    <t>MISCELLANEOUS</t>
  </si>
  <si>
    <t>GENERAL INDEX</t>
  </si>
  <si>
    <t>Essential</t>
  </si>
  <si>
    <t>Food</t>
  </si>
  <si>
    <t>Luxury</t>
  </si>
  <si>
    <t>Fuel and Light</t>
  </si>
  <si>
    <t>Trans.&amp; Commu.</t>
  </si>
  <si>
    <t>Miscel.</t>
  </si>
  <si>
    <t>Genral Index</t>
  </si>
  <si>
    <t>Q.1       Based on the latest month's data,identify the contribution of different broader categories towards the CPI basket. Broader categories can be created by combining similar categories into one bucket .</t>
  </si>
  <si>
    <t>.   Which broader category has the highest contribution has towards CPI calculation</t>
  </si>
  <si>
    <t>.   Contribution is Calculated by evaluating the underlying index values for broader category and should add to 100% when contribution from different broader categories are added.</t>
  </si>
  <si>
    <t>Trans and commu.</t>
  </si>
  <si>
    <t>Misc.</t>
  </si>
  <si>
    <t>Genral in.</t>
  </si>
  <si>
    <t>Latest month's data -May 2023</t>
  </si>
  <si>
    <t>Broader Category Food Has</t>
  </si>
  <si>
    <t>Highest Contribution</t>
  </si>
  <si>
    <t xml:space="preserve"> Q.2    A trend of Y-O-Y increase in CPI (RURAL+URBAN) inflation starting 2017 for the entire basket of product combine.</t>
  </si>
  <si>
    <t>. Create a graph depicting the growth rat Y-O-Y and identify the year with highest inflation rate.</t>
  </si>
  <si>
    <t>. Hightlight the reason why the year has the highest inflation.</t>
  </si>
  <si>
    <t>2018-2019</t>
  </si>
  <si>
    <t>2019-2020</t>
  </si>
  <si>
    <t>2020-2021</t>
  </si>
  <si>
    <t>2021-2022</t>
  </si>
  <si>
    <t>2022-2023</t>
  </si>
  <si>
    <t>Inflation</t>
  </si>
  <si>
    <t>A.   Inflation can be caused by various factors,</t>
  </si>
  <si>
    <t xml:space="preserve">        including increased production costs</t>
  </si>
  <si>
    <t xml:space="preserve">         associated with raw materials,labor or</t>
  </si>
  <si>
    <t xml:space="preserve">         market disruptions.</t>
  </si>
  <si>
    <t xml:space="preserve">B.     Inflation in india is now showing </t>
  </si>
  <si>
    <t xml:space="preserve">         decreasing trends,after its upsurge in the</t>
  </si>
  <si>
    <t xml:space="preserve">          aftermath of the COVID-19 pandemic and</t>
  </si>
  <si>
    <t xml:space="preserve">           russia invasion in ukrain.</t>
  </si>
  <si>
    <t xml:space="preserve">C.The retail food inflation in india has been </t>
  </si>
  <si>
    <t xml:space="preserve">     challenge for the final descent of inflation.</t>
  </si>
  <si>
    <t>Q.3 with india retail inflation reaching a 3 month high of 5.55% in november 2023 largely due to a sharp rise in food prices.Analyze the following for 12 months ending may'23</t>
  </si>
  <si>
    <t>a. investigate trends in the price of broader food buckets categories and evaluated month on month changes highlight month with highest and lowest food inflation.</t>
  </si>
  <si>
    <t>Year month</t>
  </si>
  <si>
    <t>Infaltion</t>
  </si>
  <si>
    <t>_</t>
  </si>
  <si>
    <t>Inflation in %</t>
  </si>
  <si>
    <t xml:space="preserve">October 2022 And May 2023 has the maximum Food Inflation </t>
  </si>
  <si>
    <t>December 2022 and February 2023 is lowest food inflation</t>
  </si>
  <si>
    <t xml:space="preserve"> b.identify the absolute change in inflation over by same 12 month period and identify the biggest individual category contributer (only food)toward inflation</t>
  </si>
  <si>
    <t>Categories</t>
  </si>
  <si>
    <t>Highest - Spices</t>
  </si>
  <si>
    <t>Lowest - Oils and Fats</t>
  </si>
  <si>
    <t xml:space="preserve">Q.4    Investigate how to onset and progression of the COVID-19 pendamic affected  </t>
  </si>
  <si>
    <t xml:space="preserve">           inflation in india. Analyze the impact of the key pandemic milestone on the CPI </t>
  </si>
  <si>
    <t xml:space="preserve">           inflation %. Specially focus on categories like food,health and essential service. </t>
  </si>
  <si>
    <t>Date -2018-2019</t>
  </si>
  <si>
    <t>Essential Services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</si>
  <si>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</si>
  <si>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</si>
  <si>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</si>
  <si>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</si>
  <si>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</si>
  <si>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</si>
  <si>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</si>
  <si>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</si>
  <si>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</si>
  <si>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</si>
  <si>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</si>
  <si>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 xml:space="preserve">2019 March </t>
  </si>
  <si>
    <t>Date -2019-2020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</si>
  <si>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</si>
  <si>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</si>
  <si>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</si>
  <si>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</si>
  <si>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</si>
  <si>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</si>
  <si>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</si>
  <si>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</si>
  <si>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</si>
  <si>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</si>
  <si>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</si>
  <si>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</si>
  <si>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Date -2020-2021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</si>
  <si>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</si>
  <si>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</si>
  <si>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</si>
  <si>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</si>
  <si>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</si>
  <si>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</si>
  <si>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</si>
  <si>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</si>
  <si>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</si>
  <si>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</si>
  <si>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</si>
  <si>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 xml:space="preserve">2021 March </t>
  </si>
  <si>
    <t>Date -2021-2022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</si>
  <si>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</si>
  <si>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</si>
  <si>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</si>
  <si>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</si>
  <si>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</si>
  <si>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</si>
  <si>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</si>
  <si>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</si>
  <si>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</si>
  <si>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</si>
  <si>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</si>
  <si>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 xml:space="preserve">2022 March </t>
  </si>
  <si>
    <t>Inflation Rate of Food</t>
  </si>
  <si>
    <t>Inflation Rate of Healthcare</t>
  </si>
  <si>
    <t>Inflation Rate of Essential Services</t>
  </si>
  <si>
    <t>Essential ser.</t>
  </si>
  <si>
    <t>Key Insight</t>
  </si>
  <si>
    <t>1. Healthcare (Health): there is a noticeable increase in the CPI for</t>
  </si>
  <si>
    <t xml:space="preserve">     healthcare after covid,with a significant jump from 2019 to 2021.</t>
  </si>
  <si>
    <t xml:space="preserve">     this suggests a subassential impact of the pandamic on healthcare </t>
  </si>
  <si>
    <t xml:space="preserve">       cost.</t>
  </si>
  <si>
    <t>2.FOOD AND BEVERAGE: The CPI for food and beverage is shows a</t>
  </si>
  <si>
    <t xml:space="preserve">    steady increase over these years ,reflecting th heightened </t>
  </si>
  <si>
    <t xml:space="preserve">     importnce and possibly disrupted supply chains of food item </t>
  </si>
  <si>
    <t xml:space="preserve">      during the pandemic.</t>
  </si>
  <si>
    <t>3. ESSENTIAL: This sectorial so experienced a consistent items during the</t>
  </si>
  <si>
    <t xml:space="preserve">      CPI,indicating increased costs for essential household items  during</t>
  </si>
  <si>
    <t xml:space="preserve">       the pandemic period. Specially after covid there a major </t>
  </si>
  <si>
    <t xml:space="preserve">         increase in this.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</si>
  <si>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</si>
  <si>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</si>
  <si>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</si>
  <si>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</si>
  <si>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</si>
  <si>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</si>
  <si>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</si>
  <si>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</si>
  <si>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</si>
  <si>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</si>
  <si>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</si>
  <si>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</si>
  <si>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</si>
  <si>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</si>
  <si>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</si>
  <si>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</si>
  <si>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</si>
  <si>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</si>
  <si>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</si>
  <si>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</si>
  <si>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</si>
  <si>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</si>
  <si>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</si>
  <si>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</si>
  <si>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</si>
  <si>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PRODUCT IMPORT*</t>
  </si>
  <si>
    <t>TOTAL IMPORT</t>
  </si>
  <si>
    <t>.   For the purpose of this analysis, focus only the imported</t>
  </si>
  <si>
    <t xml:space="preserve">      oil price fluctuations for year 2021 to 2023.</t>
  </si>
  <si>
    <t>Q.5 Investigate how major global economic events have</t>
  </si>
  <si>
    <t xml:space="preserve">         influenced India flation . This can include an analysis of </t>
  </si>
  <si>
    <t xml:space="preserve">          imported goods and there price trend.</t>
  </si>
  <si>
    <t>Q.5b</t>
  </si>
  <si>
    <t xml:space="preserve">. Identify trends in oil price change with change in inflation price of all </t>
  </si>
  <si>
    <t xml:space="preserve">   the categories and identify categories whose inflation price strongly change with fluctuations </t>
  </si>
  <si>
    <t xml:space="preserve">     in imported oil price.</t>
  </si>
  <si>
    <t>IMPORT/EXPORT</t>
  </si>
  <si>
    <t>MS!</t>
  </si>
  <si>
    <t>Naphtha$</t>
  </si>
  <si>
    <t>ATF#</t>
  </si>
  <si>
    <t>LDO</t>
  </si>
  <si>
    <t>LOBS/ Lube Oil</t>
  </si>
  <si>
    <t>Petcoke / CBFS</t>
  </si>
  <si>
    <t>Others%</t>
  </si>
  <si>
    <t>TOTAL  PRODUCT EXPORT</t>
  </si>
  <si>
    <t>NET IMPORT</t>
  </si>
  <si>
    <t>IMPORT^</t>
  </si>
  <si>
    <t>Import/Export of Crude oil and Petroleum Products</t>
  </si>
  <si>
    <t xml:space="preserve"> CRUDE OIL</t>
  </si>
  <si>
    <t xml:space="preserve"> PRODUCT EXPORT @</t>
  </si>
  <si>
    <t>Grand Total</t>
  </si>
  <si>
    <t>(All)</t>
  </si>
  <si>
    <t>Average of General index</t>
  </si>
  <si>
    <t>2023-24</t>
  </si>
  <si>
    <t>(` Crore)</t>
  </si>
  <si>
    <t>YEAR</t>
  </si>
  <si>
    <t>MONTH</t>
  </si>
  <si>
    <t>CRUDE OIL</t>
  </si>
  <si>
    <t>CORRELATION</t>
  </si>
  <si>
    <t>FOOD CATEGORY</t>
  </si>
  <si>
    <t>INSIGHT</t>
  </si>
  <si>
    <t>%  Contribution</t>
  </si>
  <si>
    <t>Total</t>
  </si>
  <si>
    <t>% Contribution</t>
  </si>
  <si>
    <t>Highest Correlation</t>
  </si>
  <si>
    <t>Transport and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</si>
</sst>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0.000"/>
    <numFmt numFmtId="168" formatCode="_-* #,##0_-;\-* #,##0_-;_-* &quot;-&quot;_-;_-@_-"/>
    <numFmt numFmtId="169" formatCode="_-* #,##0.00_-;\-* #,##0.00_-;_-* &quot;-&quot;??_-;_-@_-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#,##0.00&quot; F&quot;_);[Red]\(#,##0.00&quot; F&quot;\)"/>
    <numFmt numFmtId="173" formatCode="0.0000_}"/>
    <numFmt numFmtId="174" formatCode="_-* #,##0.00\ _D_M_-;\-* #,##0.00\ _D_M_-;_-* &quot;-&quot;??\ _D_M_-;_-@_-"/>
    <numFmt numFmtId="175" formatCode="&quot;$&quot;#,##0\ ;\(&quot;$&quot;#,##0\)"/>
    <numFmt numFmtId="176" formatCode="0.00_)"/>
    <numFmt numFmtId="177" formatCode="0.00_);[Red]\(0.00\)"/>
    <numFmt numFmtId="178" formatCode="&quot;Rs.&quot;#,##0.00;[Red]\-&quot;Rs.&quot;#,##0.00"/>
    <numFmt numFmtId="179" formatCode="_-&quot;Rs.&quot;* #,##0_-;\-&quot;Rs.&quot;* #,##0_-;_-&quot;Rs.&quot;* &quot;-&quot;_-;_-@_-"/>
    <numFmt numFmtId="180" formatCode="_(&quot;Rs.&quot;* #,##0.00_);_(&quot;Rs.&quot;* \(#,##0.00\);_(&quot;Rs.&quot;* &quot;-&quot;??_);_(@_)"/>
    <numFmt numFmtId="181" formatCode="_-&quot;Rs.&quot;* #,##0.00_-;\-&quot;Rs.&quot;* #,##0.00_-;_-&quot;Rs.&quot;* &quot;-&quot;??_-;_-@_-"/>
    <numFmt numFmtId="182" formatCode="mm/dd/yy"/>
    <numFmt numFmtId="183" formatCode="&quot;Rs.&quot;#,##0.00;\-&quot;Rs.&quot;#,##0.00"/>
    <numFmt numFmtId="184" formatCode="&quot;Rs.&quot;#,##0;\-&quot;Rs.&quot;#,##0"/>
    <numFmt numFmtId="185" formatCode="&quot;Rs.&quot;#,##0;[Red]\-&quot;Rs.&quot;#,##0"/>
  </numFmts>
  <fonts count="1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2"/>
      <name val="¹ÙÅÁÃ¼"/>
      <family val="1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sz val="11"/>
      <color indexed="37"/>
      <name val="Calibri"/>
      <family val="2"/>
    </font>
    <font>
      <b/>
      <sz val="18"/>
      <color indexed="8"/>
      <name val="Footlight MT Light"/>
      <family val="1"/>
    </font>
    <font>
      <sz val="12"/>
      <name val="±¼¸²Ã¼"/>
      <family val="3"/>
      <charset val="129"/>
    </font>
    <font>
      <sz val="10"/>
      <color indexed="8"/>
      <name val="Arial"/>
      <family val="2"/>
    </font>
    <font>
      <b/>
      <sz val="10"/>
      <color indexed="52"/>
      <name val="Calibri"/>
      <family val="2"/>
    </font>
    <font>
      <b/>
      <sz val="11"/>
      <color indexed="17"/>
      <name val="Calibri"/>
      <family val="2"/>
    </font>
    <font>
      <b/>
      <sz val="10"/>
      <color indexed="9"/>
      <name val="Calibri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sz val="12"/>
      <color indexed="8"/>
      <name val="Arial"/>
      <family val="2"/>
    </font>
    <font>
      <sz val="10"/>
      <color indexed="8"/>
      <name val="Antique Olive"/>
      <family val="2"/>
    </font>
    <font>
      <sz val="10"/>
      <name val="Tahoma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Calibri"/>
      <family val="2"/>
    </font>
    <font>
      <sz val="16"/>
      <color indexed="8"/>
      <name val="Footlight MT Light"/>
      <family val="1"/>
    </font>
    <font>
      <sz val="10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7.5"/>
      <color indexed="12"/>
      <name val="Antique Olive"/>
      <family val="2"/>
    </font>
    <font>
      <sz val="10"/>
      <color indexed="62"/>
      <name val="Calibri"/>
      <family val="2"/>
    </font>
    <font>
      <sz val="11"/>
      <color indexed="48"/>
      <name val="Calibri"/>
      <family val="2"/>
    </font>
    <font>
      <sz val="16"/>
      <name val="Times New Roman"/>
      <family val="1"/>
    </font>
    <font>
      <sz val="10"/>
      <color indexed="52"/>
      <name val="Calibri"/>
      <family val="2"/>
    </font>
    <font>
      <b/>
      <sz val="9"/>
      <name val="Helv"/>
    </font>
    <font>
      <b/>
      <sz val="10"/>
      <color indexed="8"/>
      <name val="Antique Olive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Calibri"/>
      <family val="2"/>
    </font>
    <font>
      <sz val="10"/>
      <name val="Courier"/>
      <family val="3"/>
    </font>
    <font>
      <sz val="8"/>
      <name val="Helv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color indexed="12"/>
      <name val="Arial"/>
      <family val="2"/>
    </font>
    <font>
      <sz val="10"/>
      <color indexed="10"/>
      <name val="Calibri"/>
      <family val="2"/>
    </font>
    <font>
      <sz val="11"/>
      <color indexed="14"/>
      <name val="Calibri"/>
      <family val="2"/>
    </font>
    <font>
      <sz val="12"/>
      <color theme="1"/>
      <name val="Arial"/>
      <family val="2"/>
    </font>
    <font>
      <sz val="12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4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5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0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5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0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/>
    <xf numFmtId="9" fontId="53" fillId="0" borderId="0" applyFont="0" applyFill="0" applyBorder="0" applyAlignment="0" applyProtection="0"/>
    <xf numFmtId="0" fontId="31" fillId="45" borderId="0" applyNumberFormat="0" applyBorder="0" applyAlignment="0" applyProtection="0"/>
    <xf numFmtId="0" fontId="54" fillId="46" borderId="0" applyNumberFormat="0" applyBorder="0" applyAlignment="0" applyProtection="0"/>
    <xf numFmtId="0" fontId="1" fillId="10" borderId="0" applyNumberFormat="0" applyBorder="0" applyAlignment="0" applyProtection="0"/>
    <xf numFmtId="0" fontId="31" fillId="45" borderId="0" applyNumberFormat="0" applyBorder="0" applyAlignment="0" applyProtection="0"/>
    <xf numFmtId="0" fontId="1" fillId="10" borderId="0" applyNumberFormat="0" applyBorder="0" applyAlignment="0" applyProtection="0"/>
    <xf numFmtId="0" fontId="31" fillId="45" borderId="0" applyNumberFormat="0" applyBorder="0" applyAlignment="0" applyProtection="0"/>
    <xf numFmtId="0" fontId="1" fillId="10" borderId="0" applyNumberFormat="0" applyBorder="0" applyAlignment="0" applyProtection="0"/>
    <xf numFmtId="0" fontId="54" fillId="46" borderId="0" applyNumberFormat="0" applyBorder="0" applyAlignment="0" applyProtection="0"/>
    <xf numFmtId="0" fontId="31" fillId="47" borderId="0" applyNumberFormat="0" applyBorder="0" applyAlignment="0" applyProtection="0"/>
    <xf numFmtId="0" fontId="54" fillId="48" borderId="0" applyNumberFormat="0" applyBorder="0" applyAlignment="0" applyProtection="0"/>
    <xf numFmtId="0" fontId="1" fillId="14" borderId="0" applyNumberFormat="0" applyBorder="0" applyAlignment="0" applyProtection="0"/>
    <xf numFmtId="0" fontId="31" fillId="47" borderId="0" applyNumberFormat="0" applyBorder="0" applyAlignment="0" applyProtection="0"/>
    <xf numFmtId="0" fontId="1" fillId="14" borderId="0" applyNumberFormat="0" applyBorder="0" applyAlignment="0" applyProtection="0"/>
    <xf numFmtId="0" fontId="31" fillId="47" borderId="0" applyNumberFormat="0" applyBorder="0" applyAlignment="0" applyProtection="0"/>
    <xf numFmtId="0" fontId="1" fillId="14" borderId="0" applyNumberFormat="0" applyBorder="0" applyAlignment="0" applyProtection="0"/>
    <xf numFmtId="0" fontId="54" fillId="48" borderId="0" applyNumberFormat="0" applyBorder="0" applyAlignment="0" applyProtection="0"/>
    <xf numFmtId="0" fontId="31" fillId="49" borderId="0" applyNumberFormat="0" applyBorder="0" applyAlignment="0" applyProtection="0"/>
    <xf numFmtId="0" fontId="54" fillId="50" borderId="0" applyNumberFormat="0" applyBorder="0" applyAlignment="0" applyProtection="0"/>
    <xf numFmtId="0" fontId="1" fillId="18" borderId="0" applyNumberFormat="0" applyBorder="0" applyAlignment="0" applyProtection="0"/>
    <xf numFmtId="0" fontId="31" fillId="49" borderId="0" applyNumberFormat="0" applyBorder="0" applyAlignment="0" applyProtection="0"/>
    <xf numFmtId="0" fontId="1" fillId="18" borderId="0" applyNumberFormat="0" applyBorder="0" applyAlignment="0" applyProtection="0"/>
    <xf numFmtId="0" fontId="31" fillId="49" borderId="0" applyNumberFormat="0" applyBorder="0" applyAlignment="0" applyProtection="0"/>
    <xf numFmtId="0" fontId="1" fillId="18" borderId="0" applyNumberFormat="0" applyBorder="0" applyAlignment="0" applyProtection="0"/>
    <xf numFmtId="0" fontId="54" fillId="50" borderId="0" applyNumberFormat="0" applyBorder="0" applyAlignment="0" applyProtection="0"/>
    <xf numFmtId="0" fontId="31" fillId="51" borderId="0" applyNumberFormat="0" applyBorder="0" applyAlignment="0" applyProtection="0"/>
    <xf numFmtId="0" fontId="54" fillId="46" borderId="0" applyNumberFormat="0" applyBorder="0" applyAlignment="0" applyProtection="0"/>
    <xf numFmtId="0" fontId="1" fillId="22" borderId="0" applyNumberFormat="0" applyBorder="0" applyAlignment="0" applyProtection="0"/>
    <xf numFmtId="0" fontId="31" fillId="51" borderId="0" applyNumberFormat="0" applyBorder="0" applyAlignment="0" applyProtection="0"/>
    <xf numFmtId="0" fontId="1" fillId="22" borderId="0" applyNumberFormat="0" applyBorder="0" applyAlignment="0" applyProtection="0"/>
    <xf numFmtId="0" fontId="31" fillId="51" borderId="0" applyNumberFormat="0" applyBorder="0" applyAlignment="0" applyProtection="0"/>
    <xf numFmtId="0" fontId="1" fillId="22" borderId="0" applyNumberFormat="0" applyBorder="0" applyAlignment="0" applyProtection="0"/>
    <xf numFmtId="0" fontId="54" fillId="46" borderId="0" applyNumberFormat="0" applyBorder="0" applyAlignment="0" applyProtection="0"/>
    <xf numFmtId="0" fontId="31" fillId="52" borderId="0" applyNumberFormat="0" applyBorder="0" applyAlignment="0" applyProtection="0"/>
    <xf numFmtId="0" fontId="54" fillId="52" borderId="0" applyNumberFormat="0" applyBorder="0" applyAlignment="0" applyProtection="0"/>
    <xf numFmtId="0" fontId="1" fillId="26" borderId="0" applyNumberFormat="0" applyBorder="0" applyAlignment="0" applyProtection="0"/>
    <xf numFmtId="0" fontId="31" fillId="52" borderId="0" applyNumberFormat="0" applyBorder="0" applyAlignment="0" applyProtection="0"/>
    <xf numFmtId="0" fontId="1" fillId="26" borderId="0" applyNumberFormat="0" applyBorder="0" applyAlignment="0" applyProtection="0"/>
    <xf numFmtId="0" fontId="31" fillId="52" borderId="0" applyNumberFormat="0" applyBorder="0" applyAlignment="0" applyProtection="0"/>
    <xf numFmtId="0" fontId="1" fillId="26" borderId="0" applyNumberFormat="0" applyBorder="0" applyAlignment="0" applyProtection="0"/>
    <xf numFmtId="0" fontId="54" fillId="52" borderId="0" applyNumberFormat="0" applyBorder="0" applyAlignment="0" applyProtection="0"/>
    <xf numFmtId="0" fontId="31" fillId="48" borderId="0" applyNumberFormat="0" applyBorder="0" applyAlignment="0" applyProtection="0"/>
    <xf numFmtId="0" fontId="54" fillId="48" borderId="0" applyNumberFormat="0" applyBorder="0" applyAlignment="0" applyProtection="0"/>
    <xf numFmtId="0" fontId="1" fillId="30" borderId="0" applyNumberFormat="0" applyBorder="0" applyAlignment="0" applyProtection="0"/>
    <xf numFmtId="0" fontId="31" fillId="48" borderId="0" applyNumberFormat="0" applyBorder="0" applyAlignment="0" applyProtection="0"/>
    <xf numFmtId="0" fontId="1" fillId="30" borderId="0" applyNumberFormat="0" applyBorder="0" applyAlignment="0" applyProtection="0"/>
    <xf numFmtId="0" fontId="31" fillId="48" borderId="0" applyNumberFormat="0" applyBorder="0" applyAlignment="0" applyProtection="0"/>
    <xf numFmtId="0" fontId="1" fillId="30" borderId="0" applyNumberFormat="0" applyBorder="0" applyAlignment="0" applyProtection="0"/>
    <xf numFmtId="0" fontId="54" fillId="48" borderId="0" applyNumberFormat="0" applyBorder="0" applyAlignment="0" applyProtection="0"/>
    <xf numFmtId="0" fontId="31" fillId="53" borderId="0" applyNumberFormat="0" applyBorder="0" applyAlignment="0" applyProtection="0"/>
    <xf numFmtId="0" fontId="54" fillId="46" borderId="0" applyNumberFormat="0" applyBorder="0" applyAlignment="0" applyProtection="0"/>
    <xf numFmtId="0" fontId="1" fillId="11" borderId="0" applyNumberFormat="0" applyBorder="0" applyAlignment="0" applyProtection="0"/>
    <xf numFmtId="0" fontId="31" fillId="53" borderId="0" applyNumberFormat="0" applyBorder="0" applyAlignment="0" applyProtection="0"/>
    <xf numFmtId="0" fontId="1" fillId="11" borderId="0" applyNumberFormat="0" applyBorder="0" applyAlignment="0" applyProtection="0"/>
    <xf numFmtId="0" fontId="31" fillId="53" borderId="0" applyNumberFormat="0" applyBorder="0" applyAlignment="0" applyProtection="0"/>
    <xf numFmtId="0" fontId="1" fillId="11" borderId="0" applyNumberFormat="0" applyBorder="0" applyAlignment="0" applyProtection="0"/>
    <xf numFmtId="0" fontId="54" fillId="46" borderId="0" applyNumberFormat="0" applyBorder="0" applyAlignment="0" applyProtection="0"/>
    <xf numFmtId="0" fontId="31" fillId="54" borderId="0" applyNumberFormat="0" applyBorder="0" applyAlignment="0" applyProtection="0"/>
    <xf numFmtId="0" fontId="54" fillId="54" borderId="0" applyNumberFormat="0" applyBorder="0" applyAlignment="0" applyProtection="0"/>
    <xf numFmtId="0" fontId="1" fillId="15" borderId="0" applyNumberFormat="0" applyBorder="0" applyAlignment="0" applyProtection="0"/>
    <xf numFmtId="0" fontId="31" fillId="54" borderId="0" applyNumberFormat="0" applyBorder="0" applyAlignment="0" applyProtection="0"/>
    <xf numFmtId="0" fontId="1" fillId="15" borderId="0" applyNumberFormat="0" applyBorder="0" applyAlignment="0" applyProtection="0"/>
    <xf numFmtId="0" fontId="31" fillId="54" borderId="0" applyNumberFormat="0" applyBorder="0" applyAlignment="0" applyProtection="0"/>
    <xf numFmtId="0" fontId="1" fillId="15" borderId="0" applyNumberFormat="0" applyBorder="0" applyAlignment="0" applyProtection="0"/>
    <xf numFmtId="0" fontId="54" fillId="54" borderId="0" applyNumberFormat="0" applyBorder="0" applyAlignment="0" applyProtection="0"/>
    <xf numFmtId="0" fontId="31" fillId="55" borderId="0" applyNumberFormat="0" applyBorder="0" applyAlignment="0" applyProtection="0"/>
    <xf numFmtId="0" fontId="54" fillId="56" borderId="0" applyNumberFormat="0" applyBorder="0" applyAlignment="0" applyProtection="0"/>
    <xf numFmtId="0" fontId="1" fillId="19" borderId="0" applyNumberFormat="0" applyBorder="0" applyAlignment="0" applyProtection="0"/>
    <xf numFmtId="0" fontId="31" fillId="55" borderId="0" applyNumberFormat="0" applyBorder="0" applyAlignment="0" applyProtection="0"/>
    <xf numFmtId="0" fontId="1" fillId="19" borderId="0" applyNumberFormat="0" applyBorder="0" applyAlignment="0" applyProtection="0"/>
    <xf numFmtId="0" fontId="31" fillId="55" borderId="0" applyNumberFormat="0" applyBorder="0" applyAlignment="0" applyProtection="0"/>
    <xf numFmtId="0" fontId="1" fillId="19" borderId="0" applyNumberFormat="0" applyBorder="0" applyAlignment="0" applyProtection="0"/>
    <xf numFmtId="0" fontId="54" fillId="56" borderId="0" applyNumberFormat="0" applyBorder="0" applyAlignment="0" applyProtection="0"/>
    <xf numFmtId="0" fontId="31" fillId="51" borderId="0" applyNumberFormat="0" applyBorder="0" applyAlignment="0" applyProtection="0"/>
    <xf numFmtId="0" fontId="54" fillId="46" borderId="0" applyNumberFormat="0" applyBorder="0" applyAlignment="0" applyProtection="0"/>
    <xf numFmtId="0" fontId="1" fillId="23" borderId="0" applyNumberFormat="0" applyBorder="0" applyAlignment="0" applyProtection="0"/>
    <xf numFmtId="0" fontId="31" fillId="51" borderId="0" applyNumberFormat="0" applyBorder="0" applyAlignment="0" applyProtection="0"/>
    <xf numFmtId="0" fontId="1" fillId="23" borderId="0" applyNumberFormat="0" applyBorder="0" applyAlignment="0" applyProtection="0"/>
    <xf numFmtId="0" fontId="31" fillId="51" borderId="0" applyNumberFormat="0" applyBorder="0" applyAlignment="0" applyProtection="0"/>
    <xf numFmtId="0" fontId="1" fillId="23" borderId="0" applyNumberFormat="0" applyBorder="0" applyAlignment="0" applyProtection="0"/>
    <xf numFmtId="0" fontId="54" fillId="46" borderId="0" applyNumberFormat="0" applyBorder="0" applyAlignment="0" applyProtection="0"/>
    <xf numFmtId="0" fontId="31" fillId="53" borderId="0" applyNumberFormat="0" applyBorder="0" applyAlignment="0" applyProtection="0"/>
    <xf numFmtId="0" fontId="54" fillId="53" borderId="0" applyNumberFormat="0" applyBorder="0" applyAlignment="0" applyProtection="0"/>
    <xf numFmtId="0" fontId="1" fillId="27" borderId="0" applyNumberFormat="0" applyBorder="0" applyAlignment="0" applyProtection="0"/>
    <xf numFmtId="0" fontId="31" fillId="53" borderId="0" applyNumberFormat="0" applyBorder="0" applyAlignment="0" applyProtection="0"/>
    <xf numFmtId="0" fontId="1" fillId="27" borderId="0" applyNumberFormat="0" applyBorder="0" applyAlignment="0" applyProtection="0"/>
    <xf numFmtId="0" fontId="31" fillId="53" borderId="0" applyNumberFormat="0" applyBorder="0" applyAlignment="0" applyProtection="0"/>
    <xf numFmtId="0" fontId="1" fillId="27" borderId="0" applyNumberFormat="0" applyBorder="0" applyAlignment="0" applyProtection="0"/>
    <xf numFmtId="0" fontId="54" fillId="53" borderId="0" applyNumberFormat="0" applyBorder="0" applyAlignment="0" applyProtection="0"/>
    <xf numFmtId="0" fontId="31" fillId="57" borderId="0" applyNumberFormat="0" applyBorder="0" applyAlignment="0" applyProtection="0"/>
    <xf numFmtId="0" fontId="54" fillId="48" borderId="0" applyNumberFormat="0" applyBorder="0" applyAlignment="0" applyProtection="0"/>
    <xf numFmtId="0" fontId="1" fillId="31" borderId="0" applyNumberFormat="0" applyBorder="0" applyAlignment="0" applyProtection="0"/>
    <xf numFmtId="0" fontId="31" fillId="57" borderId="0" applyNumberFormat="0" applyBorder="0" applyAlignment="0" applyProtection="0"/>
    <xf numFmtId="0" fontId="1" fillId="31" borderId="0" applyNumberFormat="0" applyBorder="0" applyAlignment="0" applyProtection="0"/>
    <xf numFmtId="0" fontId="31" fillId="57" borderId="0" applyNumberFormat="0" applyBorder="0" applyAlignment="0" applyProtection="0"/>
    <xf numFmtId="0" fontId="1" fillId="31" borderId="0" applyNumberFormat="0" applyBorder="0" applyAlignment="0" applyProtection="0"/>
    <xf numFmtId="0" fontId="54" fillId="48" borderId="0" applyNumberFormat="0" applyBorder="0" applyAlignment="0" applyProtection="0"/>
    <xf numFmtId="0" fontId="35" fillId="58" borderId="0" applyNumberFormat="0" applyBorder="0" applyAlignment="0" applyProtection="0"/>
    <xf numFmtId="0" fontId="55" fillId="59" borderId="0" applyNumberFormat="0" applyBorder="0" applyAlignment="0" applyProtection="0"/>
    <xf numFmtId="0" fontId="17" fillId="12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55" fillId="59" borderId="0" applyNumberFormat="0" applyBorder="0" applyAlignment="0" applyProtection="0"/>
    <xf numFmtId="0" fontId="35" fillId="54" borderId="0" applyNumberFormat="0" applyBorder="0" applyAlignment="0" applyProtection="0"/>
    <xf numFmtId="0" fontId="55" fillId="54" borderId="0" applyNumberFormat="0" applyBorder="0" applyAlignment="0" applyProtection="0"/>
    <xf numFmtId="0" fontId="17" fillId="16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55" fillId="54" borderId="0" applyNumberFormat="0" applyBorder="0" applyAlignment="0" applyProtection="0"/>
    <xf numFmtId="0" fontId="35" fillId="55" borderId="0" applyNumberFormat="0" applyBorder="0" applyAlignment="0" applyProtection="0"/>
    <xf numFmtId="0" fontId="55" fillId="56" borderId="0" applyNumberFormat="0" applyBorder="0" applyAlignment="0" applyProtection="0"/>
    <xf numFmtId="0" fontId="17" fillId="20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55" fillId="56" borderId="0" applyNumberFormat="0" applyBorder="0" applyAlignment="0" applyProtection="0"/>
    <xf numFmtId="0" fontId="35" fillId="60" borderId="0" applyNumberFormat="0" applyBorder="0" applyAlignment="0" applyProtection="0"/>
    <xf numFmtId="0" fontId="55" fillId="61" borderId="0" applyNumberFormat="0" applyBorder="0" applyAlignment="0" applyProtection="0"/>
    <xf numFmtId="0" fontId="17" fillId="24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55" fillId="61" borderId="0" applyNumberFormat="0" applyBorder="0" applyAlignment="0" applyProtection="0"/>
    <xf numFmtId="0" fontId="35" fillId="59" borderId="0" applyNumberFormat="0" applyBorder="0" applyAlignment="0" applyProtection="0"/>
    <xf numFmtId="0" fontId="55" fillId="59" borderId="0" applyNumberFormat="0" applyBorder="0" applyAlignment="0" applyProtection="0"/>
    <xf numFmtId="0" fontId="17" fillId="28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55" fillId="59" borderId="0" applyNumberFormat="0" applyBorder="0" applyAlignment="0" applyProtection="0"/>
    <xf numFmtId="0" fontId="35" fillId="62" borderId="0" applyNumberFormat="0" applyBorder="0" applyAlignment="0" applyProtection="0"/>
    <xf numFmtId="0" fontId="55" fillId="48" borderId="0" applyNumberFormat="0" applyBorder="0" applyAlignment="0" applyProtection="0"/>
    <xf numFmtId="0" fontId="17" fillId="3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55" fillId="48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3" borderId="0" applyNumberFormat="0" applyBorder="0" applyAlignment="0" applyProtection="0"/>
    <xf numFmtId="0" fontId="55" fillId="59" borderId="0" applyNumberFormat="0" applyBorder="0" applyAlignment="0" applyProtection="0"/>
    <xf numFmtId="0" fontId="35" fillId="67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55" fillId="59" borderId="0" applyNumberFormat="0" applyBorder="0" applyAlignment="0" applyProtection="0"/>
    <xf numFmtId="0" fontId="31" fillId="69" borderId="0" applyNumberFormat="0" applyBorder="0" applyAlignment="0" applyProtection="0"/>
    <xf numFmtId="0" fontId="31" fillId="70" borderId="0" applyNumberFormat="0" applyBorder="0" applyAlignment="0" applyProtection="0"/>
    <xf numFmtId="0" fontId="35" fillId="71" borderId="0" applyNumberFormat="0" applyBorder="0" applyAlignment="0" applyProtection="0"/>
    <xf numFmtId="0" fontId="35" fillId="68" borderId="0" applyNumberFormat="0" applyBorder="0" applyAlignment="0" applyProtection="0"/>
    <xf numFmtId="0" fontId="55" fillId="68" borderId="0" applyNumberFormat="0" applyBorder="0" applyAlignment="0" applyProtection="0"/>
    <xf numFmtId="0" fontId="35" fillId="72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55" fillId="68" borderId="0" applyNumberFormat="0" applyBorder="0" applyAlignment="0" applyProtection="0"/>
    <xf numFmtId="0" fontId="31" fillId="74" borderId="0" applyNumberFormat="0" applyBorder="0" applyAlignment="0" applyProtection="0"/>
    <xf numFmtId="0" fontId="31" fillId="75" borderId="0" applyNumberFormat="0" applyBorder="0" applyAlignment="0" applyProtection="0"/>
    <xf numFmtId="0" fontId="35" fillId="76" borderId="0" applyNumberFormat="0" applyBorder="0" applyAlignment="0" applyProtection="0"/>
    <xf numFmtId="0" fontId="35" fillId="73" borderId="0" applyNumberFormat="0" applyBorder="0" applyAlignment="0" applyProtection="0"/>
    <xf numFmtId="0" fontId="55" fillId="73" borderId="0" applyNumberFormat="0" applyBorder="0" applyAlignment="0" applyProtection="0"/>
    <xf numFmtId="0" fontId="35" fillId="77" borderId="0" applyNumberFormat="0" applyBorder="0" applyAlignment="0" applyProtection="0"/>
    <xf numFmtId="0" fontId="35" fillId="73" borderId="0" applyNumberFormat="0" applyBorder="0" applyAlignment="0" applyProtection="0"/>
    <xf numFmtId="0" fontId="35" fillId="73" borderId="0" applyNumberFormat="0" applyBorder="0" applyAlignment="0" applyProtection="0"/>
    <xf numFmtId="0" fontId="55" fillId="73" borderId="0" applyNumberFormat="0" applyBorder="0" applyAlignment="0" applyProtection="0"/>
    <xf numFmtId="0" fontId="31" fillId="69" borderId="0" applyNumberFormat="0" applyBorder="0" applyAlignment="0" applyProtection="0"/>
    <xf numFmtId="0" fontId="31" fillId="78" borderId="0" applyNumberFormat="0" applyBorder="0" applyAlignment="0" applyProtection="0"/>
    <xf numFmtId="0" fontId="35" fillId="70" borderId="0" applyNumberFormat="0" applyBorder="0" applyAlignment="0" applyProtection="0"/>
    <xf numFmtId="0" fontId="35" fillId="60" borderId="0" applyNumberFormat="0" applyBorder="0" applyAlignment="0" applyProtection="0"/>
    <xf numFmtId="0" fontId="55" fillId="79" borderId="0" applyNumberFormat="0" applyBorder="0" applyAlignment="0" applyProtection="0"/>
    <xf numFmtId="0" fontId="35" fillId="8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55" fillId="79" borderId="0" applyNumberFormat="0" applyBorder="0" applyAlignment="0" applyProtection="0"/>
    <xf numFmtId="0" fontId="31" fillId="81" borderId="0" applyNumberFormat="0" applyBorder="0" applyAlignment="0" applyProtection="0"/>
    <xf numFmtId="0" fontId="31" fillId="82" borderId="0" applyNumberFormat="0" applyBorder="0" applyAlignment="0" applyProtection="0"/>
    <xf numFmtId="0" fontId="35" fillId="66" borderId="0" applyNumberFormat="0" applyBorder="0" applyAlignment="0" applyProtection="0"/>
    <xf numFmtId="0" fontId="35" fillId="59" borderId="0" applyNumberFormat="0" applyBorder="0" applyAlignment="0" applyProtection="0"/>
    <xf numFmtId="0" fontId="55" fillId="59" borderId="0" applyNumberFormat="0" applyBorder="0" applyAlignment="0" applyProtection="0"/>
    <xf numFmtId="0" fontId="35" fillId="66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55" fillId="59" borderId="0" applyNumberFormat="0" applyBorder="0" applyAlignment="0" applyProtection="0"/>
    <xf numFmtId="0" fontId="31" fillId="84" borderId="0" applyNumberFormat="0" applyBorder="0" applyAlignment="0" applyProtection="0"/>
    <xf numFmtId="0" fontId="31" fillId="85" borderId="0" applyNumberFormat="0" applyBorder="0" applyAlignment="0" applyProtection="0"/>
    <xf numFmtId="0" fontId="35" fillId="86" borderId="0" applyNumberFormat="0" applyBorder="0" applyAlignment="0" applyProtection="0"/>
    <xf numFmtId="0" fontId="35" fillId="83" borderId="0" applyNumberFormat="0" applyBorder="0" applyAlignment="0" applyProtection="0"/>
    <xf numFmtId="0" fontId="55" fillId="83" borderId="0" applyNumberFormat="0" applyBorder="0" applyAlignment="0" applyProtection="0"/>
    <xf numFmtId="0" fontId="35" fillId="87" borderId="0" applyNumberFormat="0" applyBorder="0" applyAlignment="0" applyProtection="0"/>
    <xf numFmtId="0" fontId="35" fillId="83" borderId="0" applyNumberFormat="0" applyBorder="0" applyAlignment="0" applyProtection="0"/>
    <xf numFmtId="0" fontId="35" fillId="83" borderId="0" applyNumberFormat="0" applyBorder="0" applyAlignment="0" applyProtection="0"/>
    <xf numFmtId="0" fontId="55" fillId="83" borderId="0" applyNumberFormat="0" applyBorder="0" applyAlignment="0" applyProtection="0"/>
    <xf numFmtId="0" fontId="32" fillId="0" borderId="0" applyNumberFormat="0" applyFont="0" applyFill="0" applyBorder="0" applyAlignment="0">
      <protection locked="0"/>
    </xf>
    <xf numFmtId="0" fontId="32" fillId="0" borderId="0" applyNumberFormat="0" applyFont="0" applyFill="0" applyBorder="0" applyAlignment="0">
      <protection locked="0"/>
    </xf>
    <xf numFmtId="170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64" fontId="53" fillId="0" borderId="0" applyFont="0" applyFill="0" applyBorder="0" applyAlignment="0" applyProtection="0"/>
    <xf numFmtId="165" fontId="53" fillId="0" borderId="0" applyFont="0" applyFill="0" applyBorder="0" applyAlignment="0" applyProtection="0"/>
    <xf numFmtId="0" fontId="36" fillId="47" borderId="0" applyNumberFormat="0" applyBorder="0" applyAlignment="0" applyProtection="0"/>
    <xf numFmtId="0" fontId="56" fillId="47" borderId="0" applyNumberFormat="0" applyBorder="0" applyAlignment="0" applyProtection="0"/>
    <xf numFmtId="0" fontId="57" fillId="84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56" fillId="47" borderId="0" applyNumberFormat="0" applyBorder="0" applyAlignment="0" applyProtection="0"/>
    <xf numFmtId="0" fontId="32" fillId="53" borderId="0" applyNumberFormat="0" applyBorder="0" applyAlignment="0">
      <protection locked="0"/>
    </xf>
    <xf numFmtId="0" fontId="32" fillId="53" borderId="0" applyNumberFormat="0" applyBorder="0" applyAlignment="0">
      <protection locked="0"/>
    </xf>
    <xf numFmtId="4" fontId="58" fillId="0" borderId="26" applyFill="0">
      <alignment vertical="center"/>
      <protection locked="0"/>
    </xf>
    <xf numFmtId="0" fontId="59" fillId="0" borderId="0"/>
    <xf numFmtId="0" fontId="60" fillId="0" borderId="0" applyFill="0" applyBorder="0" applyAlignment="0"/>
    <xf numFmtId="0" fontId="60" fillId="0" borderId="0" applyFill="0" applyBorder="0" applyAlignment="0"/>
    <xf numFmtId="0" fontId="32" fillId="0" borderId="0" applyFill="0" applyBorder="0" applyAlignment="0"/>
    <xf numFmtId="0" fontId="32" fillId="0" borderId="0" applyFill="0" applyBorder="0" applyAlignment="0"/>
    <xf numFmtId="0" fontId="37" fillId="46" borderId="27" applyNumberFormat="0" applyAlignment="0" applyProtection="0"/>
    <xf numFmtId="0" fontId="61" fillId="46" borderId="27" applyNumberFormat="0" applyAlignment="0" applyProtection="0"/>
    <xf numFmtId="0" fontId="62" fillId="88" borderId="28" applyNumberFormat="0" applyAlignment="0" applyProtection="0"/>
    <xf numFmtId="0" fontId="37" fillId="46" borderId="27" applyNumberFormat="0" applyAlignment="0" applyProtection="0"/>
    <xf numFmtId="0" fontId="37" fillId="46" borderId="27" applyNumberFormat="0" applyAlignment="0" applyProtection="0"/>
    <xf numFmtId="0" fontId="61" fillId="46" borderId="27" applyNumberFormat="0" applyAlignment="0" applyProtection="0"/>
    <xf numFmtId="0" fontId="38" fillId="61" borderId="29" applyNumberFormat="0" applyAlignment="0" applyProtection="0"/>
    <xf numFmtId="0" fontId="63" fillId="61" borderId="29" applyNumberFormat="0" applyAlignment="0" applyProtection="0"/>
    <xf numFmtId="0" fontId="38" fillId="80" borderId="29" applyNumberFormat="0" applyAlignment="0" applyProtection="0"/>
    <xf numFmtId="0" fontId="38" fillId="61" borderId="29" applyNumberFormat="0" applyAlignment="0" applyProtection="0"/>
    <xf numFmtId="0" fontId="38" fillId="61" borderId="29" applyNumberFormat="0" applyAlignment="0" applyProtection="0"/>
    <xf numFmtId="0" fontId="63" fillId="61" borderId="29" applyNumberFormat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172" fontId="65" fillId="0" borderId="0"/>
    <xf numFmtId="172" fontId="65" fillId="0" borderId="0"/>
    <xf numFmtId="172" fontId="65" fillId="0" borderId="0"/>
    <xf numFmtId="172" fontId="65" fillId="0" borderId="0"/>
    <xf numFmtId="172" fontId="65" fillId="0" borderId="0"/>
    <xf numFmtId="172" fontId="65" fillId="0" borderId="0"/>
    <xf numFmtId="172" fontId="65" fillId="0" borderId="0"/>
    <xf numFmtId="172" fontId="65" fillId="0" borderId="0"/>
    <xf numFmtId="173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9" fontId="66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9" fontId="104" fillId="0" borderId="0" applyFont="0" applyFill="0" applyBorder="0" applyAlignment="0" applyProtection="0"/>
    <xf numFmtId="165" fontId="105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" fontId="67" fillId="0" borderId="0" applyFont="0" applyFill="0" applyBorder="0" applyAlignment="0" applyProtection="0"/>
    <xf numFmtId="174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9" fillId="0" borderId="0" applyFont="0" applyFill="0" applyBorder="0" applyAlignment="0" applyProtection="0"/>
    <xf numFmtId="0" fontId="70" fillId="0" borderId="0" applyNumberFormat="0" applyAlignment="0">
      <alignment horizontal="left"/>
    </xf>
    <xf numFmtId="175" fontId="67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49" fillId="89" borderId="0" applyNumberFormat="0" applyBorder="0" applyAlignment="0" applyProtection="0"/>
    <xf numFmtId="0" fontId="49" fillId="90" borderId="0" applyNumberFormat="0" applyBorder="0" applyAlignment="0" applyProtection="0"/>
    <xf numFmtId="0" fontId="49" fillId="91" borderId="0" applyNumberFormat="0" applyBorder="0" applyAlignment="0" applyProtection="0"/>
    <xf numFmtId="0" fontId="71" fillId="0" borderId="0" applyNumberFormat="0" applyAlignment="0">
      <alignment horizontal="left"/>
    </xf>
    <xf numFmtId="0" fontId="3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4" fontId="73" fillId="0" borderId="0" applyFill="0" applyBorder="0">
      <protection locked="0"/>
    </xf>
    <xf numFmtId="2" fontId="67" fillId="0" borderId="0" applyFont="0" applyFill="0" applyBorder="0" applyAlignment="0" applyProtection="0"/>
    <xf numFmtId="2" fontId="69" fillId="0" borderId="0" applyFont="0" applyFill="0" applyBorder="0" applyAlignment="0" applyProtection="0"/>
    <xf numFmtId="0" fontId="40" fillId="49" borderId="0" applyNumberFormat="0" applyBorder="0" applyAlignment="0" applyProtection="0"/>
    <xf numFmtId="0" fontId="74" fillId="49" borderId="0" applyNumberFormat="0" applyBorder="0" applyAlignment="0" applyProtection="0"/>
    <xf numFmtId="0" fontId="31" fillId="7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74" fillId="49" borderId="0" applyNumberFormat="0" applyBorder="0" applyAlignment="0" applyProtection="0"/>
    <xf numFmtId="38" fontId="33" fillId="92" borderId="0" applyNumberFormat="0" applyBorder="0" applyAlignment="0" applyProtection="0"/>
    <xf numFmtId="38" fontId="33" fillId="92" borderId="0" applyNumberFormat="0" applyBorder="0" applyAlignment="0" applyProtection="0"/>
    <xf numFmtId="0" fontId="75" fillId="0" borderId="18" applyNumberFormat="0" applyAlignment="0" applyProtection="0">
      <alignment horizontal="left" vertical="center"/>
    </xf>
    <xf numFmtId="0" fontId="75" fillId="0" borderId="14">
      <alignment horizontal="left" vertical="center"/>
    </xf>
    <xf numFmtId="0" fontId="41" fillId="0" borderId="30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6" fillId="0" borderId="3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7" fillId="0" borderId="33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3" fillId="0" borderId="34" applyNumberFormat="0" applyFill="0" applyAlignment="0" applyProtection="0"/>
    <xf numFmtId="0" fontId="78" fillId="0" borderId="35" applyNumberFormat="0" applyFill="0" applyAlignment="0" applyProtection="0"/>
    <xf numFmtId="0" fontId="78" fillId="0" borderId="36" applyNumberFormat="0" applyFill="0" applyAlignment="0" applyProtection="0"/>
    <xf numFmtId="0" fontId="43" fillId="0" borderId="34" applyNumberFormat="0" applyFill="0" applyAlignment="0" applyProtection="0"/>
    <xf numFmtId="0" fontId="43" fillId="0" borderId="34" applyNumberFormat="0" applyFill="0" applyAlignment="0" applyProtection="0"/>
    <xf numFmtId="0" fontId="78" fillId="0" borderId="35" applyNumberFormat="0" applyFill="0" applyAlignment="0" applyProtection="0"/>
    <xf numFmtId="0" fontId="43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10" fontId="33" fillId="93" borderId="10" applyNumberFormat="0" applyBorder="0" applyAlignment="0" applyProtection="0"/>
    <xf numFmtId="10" fontId="33" fillId="93" borderId="10" applyNumberFormat="0" applyBorder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44" fillId="48" borderId="27" applyNumberFormat="0" applyAlignment="0" applyProtection="0"/>
    <xf numFmtId="0" fontId="80" fillId="48" borderId="27" applyNumberFormat="0" applyAlignment="0" applyProtection="0"/>
    <xf numFmtId="0" fontId="81" fillId="85" borderId="28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44" fillId="48" borderId="27" applyNumberFormat="0" applyAlignment="0" applyProtection="0"/>
    <xf numFmtId="0" fontId="80" fillId="48" borderId="27" applyNumberFormat="0" applyAlignment="0" applyProtection="0"/>
    <xf numFmtId="0" fontId="44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0" fontId="80" fillId="48" borderId="27" applyNumberFormat="0" applyAlignment="0" applyProtection="0"/>
    <xf numFmtId="176" fontId="82" fillId="0" borderId="37" applyNumberFormat="0" applyFill="0" applyBorder="0">
      <alignment horizontal="left" vertical="center"/>
    </xf>
    <xf numFmtId="0" fontId="45" fillId="0" borderId="38" applyNumberFormat="0" applyFill="0" applyAlignment="0" applyProtection="0"/>
    <xf numFmtId="0" fontId="83" fillId="0" borderId="38" applyNumberFormat="0" applyFill="0" applyAlignment="0" applyProtection="0"/>
    <xf numFmtId="0" fontId="40" fillId="0" borderId="39" applyNumberFormat="0" applyFill="0" applyAlignment="0" applyProtection="0"/>
    <xf numFmtId="0" fontId="45" fillId="0" borderId="38" applyNumberFormat="0" applyFill="0" applyAlignment="0" applyProtection="0"/>
    <xf numFmtId="0" fontId="45" fillId="0" borderId="38" applyNumberFormat="0" applyFill="0" applyAlignment="0" applyProtection="0"/>
    <xf numFmtId="0" fontId="83" fillId="0" borderId="38" applyNumberFormat="0" applyFill="0" applyAlignment="0" applyProtection="0"/>
    <xf numFmtId="176" fontId="84" fillId="0" borderId="0"/>
    <xf numFmtId="166" fontId="28" fillId="0" borderId="12">
      <alignment horizontal="right"/>
    </xf>
    <xf numFmtId="177" fontId="85" fillId="0" borderId="0" applyNumberFormat="0" applyFont="0" applyBorder="0" applyAlignment="0"/>
    <xf numFmtId="0" fontId="46" fillId="56" borderId="0" applyNumberFormat="0" applyBorder="0" applyAlignment="0" applyProtection="0"/>
    <xf numFmtId="0" fontId="86" fillId="56" borderId="0" applyNumberFormat="0" applyBorder="0" applyAlignment="0" applyProtection="0"/>
    <xf numFmtId="0" fontId="40" fillId="85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86" fillId="56" borderId="0" applyNumberFormat="0" applyBorder="0" applyAlignment="0" applyProtection="0"/>
    <xf numFmtId="37" fontId="87" fillId="0" borderId="0"/>
    <xf numFmtId="164" fontId="32" fillId="0" borderId="0"/>
    <xf numFmtId="164" fontId="32" fillId="0" borderId="0"/>
    <xf numFmtId="164" fontId="32" fillId="0" borderId="0"/>
    <xf numFmtId="164" fontId="32" fillId="0" borderId="0"/>
    <xf numFmtId="176" fontId="88" fillId="0" borderId="0"/>
    <xf numFmtId="0" fontId="34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67" fillId="0" borderId="0" applyBorder="0"/>
    <xf numFmtId="0" fontId="32" fillId="0" borderId="0"/>
    <xf numFmtId="0" fontId="32" fillId="0" borderId="0"/>
    <xf numFmtId="0" fontId="32" fillId="0" borderId="0"/>
    <xf numFmtId="0" fontId="104" fillId="0" borderId="0"/>
    <xf numFmtId="0" fontId="32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1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2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2" fillId="0" borderId="0"/>
    <xf numFmtId="0" fontId="104" fillId="0" borderId="0"/>
    <xf numFmtId="0" fontId="104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67" fillId="0" borderId="0" applyBorder="0"/>
    <xf numFmtId="0" fontId="32" fillId="0" borderId="0"/>
    <xf numFmtId="0" fontId="67" fillId="0" borderId="0" applyBorder="0"/>
    <xf numFmtId="0" fontId="67" fillId="0" borderId="0" applyBorder="0"/>
    <xf numFmtId="0" fontId="32" fillId="0" borderId="0"/>
    <xf numFmtId="0" fontId="33" fillId="94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5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0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1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4" fillId="50" borderId="40" applyNumberFormat="0" applyFont="0" applyAlignment="0" applyProtection="0"/>
    <xf numFmtId="0" fontId="32" fillId="50" borderId="40" applyNumberFormat="0" applyFont="0" applyAlignment="0" applyProtection="0"/>
    <xf numFmtId="0" fontId="32" fillId="50" borderId="40" applyNumberFormat="0" applyFont="0" applyAlignment="0" applyProtection="0"/>
    <xf numFmtId="0" fontId="1" fillId="8" borderId="8" applyNumberFormat="0" applyFont="0" applyAlignment="0" applyProtection="0"/>
    <xf numFmtId="0" fontId="32" fillId="50" borderId="40" applyNumberFormat="0" applyFont="0" applyAlignment="0" applyProtection="0"/>
    <xf numFmtId="0" fontId="32" fillId="50" borderId="40" applyNumberFormat="0" applyFont="0" applyAlignment="0" applyProtection="0"/>
    <xf numFmtId="0" fontId="33" fillId="84" borderId="28" applyNumberFormat="0" applyFont="0" applyAlignment="0" applyProtection="0"/>
    <xf numFmtId="0" fontId="32" fillId="50" borderId="40" applyNumberFormat="0" applyFont="0" applyAlignment="0" applyProtection="0"/>
    <xf numFmtId="0" fontId="32" fillId="50" borderId="40" applyNumberFormat="0" applyFont="0" applyAlignment="0" applyProtection="0"/>
    <xf numFmtId="0" fontId="1" fillId="8" borderId="8" applyNumberFormat="0" applyFont="0" applyAlignment="0" applyProtection="0"/>
    <xf numFmtId="0" fontId="32" fillId="50" borderId="41" applyNumberFormat="0" applyFont="0" applyAlignment="0" applyProtection="0"/>
    <xf numFmtId="0" fontId="47" fillId="46" borderId="42" applyNumberFormat="0" applyAlignment="0" applyProtection="0"/>
    <xf numFmtId="0" fontId="89" fillId="46" borderId="42" applyNumberFormat="0" applyAlignment="0" applyProtection="0"/>
    <xf numFmtId="0" fontId="47" fillId="88" borderId="42" applyNumberFormat="0" applyAlignment="0" applyProtection="0"/>
    <xf numFmtId="0" fontId="47" fillId="46" borderId="42" applyNumberFormat="0" applyAlignment="0" applyProtection="0"/>
    <xf numFmtId="0" fontId="47" fillId="46" borderId="42" applyNumberFormat="0" applyAlignment="0" applyProtection="0"/>
    <xf numFmtId="0" fontId="89" fillId="46" borderId="42" applyNumberFormat="0" applyAlignment="0" applyProtection="0"/>
    <xf numFmtId="178" fontId="90" fillId="0" borderId="0">
      <protection hidden="1"/>
    </xf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32" fillId="0" borderId="0" applyFont="0" applyFill="0" applyBorder="0" applyAlignment="0" applyProtection="0"/>
    <xf numFmtId="10" fontId="67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179" fontId="90" fillId="0" borderId="0"/>
    <xf numFmtId="168" fontId="90" fillId="0" borderId="0"/>
    <xf numFmtId="180" fontId="90" fillId="0" borderId="0"/>
    <xf numFmtId="181" fontId="90" fillId="0" borderId="0"/>
    <xf numFmtId="182" fontId="91" fillId="0" borderId="0" applyNumberFormat="0" applyFill="0" applyBorder="0" applyAlignment="0" applyProtection="0">
      <alignment horizontal="left"/>
    </xf>
    <xf numFmtId="14" fontId="91" fillId="0" borderId="0" applyNumberFormat="0" applyFill="0" applyBorder="0" applyAlignment="0" applyProtection="0">
      <alignment horizontal="left"/>
    </xf>
    <xf numFmtId="4" fontId="33" fillId="56" borderId="28" applyNumberFormat="0" applyProtection="0">
      <alignment vertical="center"/>
    </xf>
    <xf numFmtId="4" fontId="33" fillId="56" borderId="28" applyNumberFormat="0" applyProtection="0">
      <alignment vertical="center"/>
    </xf>
    <xf numFmtId="4" fontId="33" fillId="95" borderId="28" applyNumberFormat="0" applyProtection="0">
      <alignment horizontal="left" vertical="center" indent="1"/>
    </xf>
    <xf numFmtId="0" fontId="92" fillId="56" borderId="43" applyNumberFormat="0" applyProtection="0">
      <alignment horizontal="left" vertical="top" indent="1"/>
    </xf>
    <xf numFmtId="4" fontId="33" fillId="59" borderId="28" applyNumberFormat="0" applyProtection="0">
      <alignment horizontal="left" vertical="center" indent="1"/>
    </xf>
    <xf numFmtId="4" fontId="33" fillId="47" borderId="28" applyNumberFormat="0" applyProtection="0">
      <alignment horizontal="right" vertical="center"/>
    </xf>
    <xf numFmtId="4" fontId="33" fillId="96" borderId="28" applyNumberFormat="0" applyProtection="0">
      <alignment horizontal="right" vertical="center"/>
    </xf>
    <xf numFmtId="4" fontId="33" fillId="68" borderId="44" applyNumberFormat="0" applyProtection="0">
      <alignment horizontal="right" vertical="center"/>
    </xf>
    <xf numFmtId="4" fontId="33" fillId="57" borderId="28" applyNumberFormat="0" applyProtection="0">
      <alignment horizontal="right" vertical="center"/>
    </xf>
    <xf numFmtId="4" fontId="33" fillId="62" borderId="28" applyNumberFormat="0" applyProtection="0">
      <alignment horizontal="right" vertical="center"/>
    </xf>
    <xf numFmtId="4" fontId="33" fillId="83" borderId="28" applyNumberFormat="0" applyProtection="0">
      <alignment horizontal="right" vertical="center"/>
    </xf>
    <xf numFmtId="4" fontId="33" fillId="73" borderId="28" applyNumberFormat="0" applyProtection="0">
      <alignment horizontal="right" vertical="center"/>
    </xf>
    <xf numFmtId="4" fontId="33" fillId="97" borderId="28" applyNumberFormat="0" applyProtection="0">
      <alignment horizontal="right" vertical="center"/>
    </xf>
    <xf numFmtId="4" fontId="33" fillId="55" borderId="28" applyNumberFormat="0" applyProtection="0">
      <alignment horizontal="right" vertical="center"/>
    </xf>
    <xf numFmtId="4" fontId="33" fillId="98" borderId="44" applyNumberFormat="0" applyProtection="0">
      <alignment horizontal="left" vertical="center" indent="1"/>
    </xf>
    <xf numFmtId="4" fontId="32" fillId="79" borderId="44" applyNumberFormat="0" applyProtection="0">
      <alignment horizontal="left" vertical="center" indent="1"/>
    </xf>
    <xf numFmtId="4" fontId="32" fillId="79" borderId="44" applyNumberFormat="0" applyProtection="0">
      <alignment horizontal="left" vertical="center" indent="1"/>
    </xf>
    <xf numFmtId="4" fontId="33" fillId="99" borderId="28" applyNumberFormat="0" applyProtection="0">
      <alignment horizontal="right" vertical="center"/>
    </xf>
    <xf numFmtId="4" fontId="33" fillId="100" borderId="44" applyNumberFormat="0" applyProtection="0">
      <alignment horizontal="left" vertical="center" indent="1"/>
    </xf>
    <xf numFmtId="4" fontId="33" fillId="99" borderId="44" applyNumberFormat="0" applyProtection="0">
      <alignment horizontal="left" vertical="center" indent="1"/>
    </xf>
    <xf numFmtId="0" fontId="33" fillId="46" borderId="28" applyNumberFormat="0" applyProtection="0">
      <alignment horizontal="left" vertical="center" indent="1"/>
    </xf>
    <xf numFmtId="0" fontId="33" fillId="79" borderId="43" applyNumberFormat="0" applyProtection="0">
      <alignment horizontal="left" vertical="top" indent="1"/>
    </xf>
    <xf numFmtId="0" fontId="33" fillId="101" borderId="28" applyNumberFormat="0" applyProtection="0">
      <alignment horizontal="left" vertical="center" indent="1"/>
    </xf>
    <xf numFmtId="0" fontId="33" fillId="99" borderId="43" applyNumberFormat="0" applyProtection="0">
      <alignment horizontal="left" vertical="top" indent="1"/>
    </xf>
    <xf numFmtId="0" fontId="33" fillId="53" borderId="28" applyNumberFormat="0" applyProtection="0">
      <alignment horizontal="left" vertical="center" indent="1"/>
    </xf>
    <xf numFmtId="0" fontId="33" fillId="53" borderId="43" applyNumberFormat="0" applyProtection="0">
      <alignment horizontal="left" vertical="top" indent="1"/>
    </xf>
    <xf numFmtId="0" fontId="33" fillId="100" borderId="28" applyNumberFormat="0" applyProtection="0">
      <alignment horizontal="left" vertical="center" indent="1"/>
    </xf>
    <xf numFmtId="0" fontId="33" fillId="100" borderId="43" applyNumberFormat="0" applyProtection="0">
      <alignment horizontal="left" vertical="top" indent="1"/>
    </xf>
    <xf numFmtId="0" fontId="33" fillId="102" borderId="45" applyNumberFormat="0">
      <protection locked="0"/>
    </xf>
    <xf numFmtId="0" fontId="93" fillId="79" borderId="46" applyBorder="0"/>
    <xf numFmtId="4" fontId="94" fillId="50" borderId="43" applyNumberFormat="0" applyProtection="0">
      <alignment vertical="center"/>
    </xf>
    <xf numFmtId="4" fontId="33" fillId="50" borderId="10" applyNumberFormat="0" applyProtection="0">
      <alignment vertical="center"/>
    </xf>
    <xf numFmtId="4" fontId="94" fillId="46" borderId="43" applyNumberFormat="0" applyProtection="0">
      <alignment horizontal="left" vertical="center" indent="1"/>
    </xf>
    <xf numFmtId="0" fontId="94" fillId="50" borderId="43" applyNumberFormat="0" applyProtection="0">
      <alignment horizontal="left" vertical="top" indent="1"/>
    </xf>
    <xf numFmtId="4" fontId="33" fillId="0" borderId="28" applyNumberFormat="0" applyProtection="0">
      <alignment horizontal="right" vertical="center"/>
    </xf>
    <xf numFmtId="4" fontId="33" fillId="102" borderId="28" applyNumberFormat="0" applyProtection="0">
      <alignment horizontal="right" vertical="center"/>
    </xf>
    <xf numFmtId="4" fontId="33" fillId="59" borderId="28" applyNumberFormat="0" applyProtection="0">
      <alignment horizontal="left" vertical="center" indent="1"/>
    </xf>
    <xf numFmtId="0" fontId="94" fillId="99" borderId="43" applyNumberFormat="0" applyProtection="0">
      <alignment horizontal="left" vertical="top" indent="1"/>
    </xf>
    <xf numFmtId="4" fontId="95" fillId="103" borderId="44" applyNumberFormat="0" applyProtection="0">
      <alignment horizontal="left" vertical="center" indent="1"/>
    </xf>
    <xf numFmtId="0" fontId="33" fillId="104" borderId="10"/>
    <xf numFmtId="4" fontId="96" fillId="102" borderId="28" applyNumberFormat="0" applyProtection="0">
      <alignment horizontal="right" vertical="center"/>
    </xf>
    <xf numFmtId="0" fontId="97" fillId="0" borderId="0" applyNumberFormat="0" applyFill="0" applyBorder="0" applyAlignment="0" applyProtection="0"/>
    <xf numFmtId="0" fontId="98" fillId="0" borderId="10">
      <alignment horizontal="center"/>
    </xf>
    <xf numFmtId="0" fontId="32" fillId="0" borderId="0" applyNumberFormat="0" applyFill="0" applyBorder="0" applyAlignment="0" applyProtection="0"/>
    <xf numFmtId="0" fontId="98" fillId="0" borderId="0">
      <alignment horizontal="center" vertical="center"/>
    </xf>
    <xf numFmtId="0" fontId="99" fillId="105" borderId="0" applyNumberFormat="0" applyFill="0">
      <alignment horizontal="left" vertical="center"/>
    </xf>
    <xf numFmtId="40" fontId="100" fillId="0" borderId="0" applyBorder="0">
      <alignment horizontal="right"/>
    </xf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9" fillId="0" borderId="47" applyNumberFormat="0" applyFill="0" applyAlignment="0" applyProtection="0"/>
    <xf numFmtId="0" fontId="67" fillId="0" borderId="48" applyNumberFormat="0" applyFont="0" applyFill="0" applyAlignment="0" applyProtection="0"/>
    <xf numFmtId="0" fontId="49" fillId="0" borderId="49" applyNumberFormat="0" applyFill="0" applyAlignment="0" applyProtection="0"/>
    <xf numFmtId="0" fontId="67" fillId="0" borderId="48" applyNumberFormat="0" applyFont="0" applyFill="0" applyAlignment="0" applyProtection="0"/>
    <xf numFmtId="0" fontId="67" fillId="0" borderId="48" applyNumberFormat="0" applyFont="0" applyFill="0" applyAlignment="0" applyProtection="0"/>
    <xf numFmtId="183" fontId="90" fillId="0" borderId="44">
      <protection locked="0"/>
    </xf>
    <xf numFmtId="180" fontId="90" fillId="0" borderId="44">
      <protection locked="0"/>
    </xf>
    <xf numFmtId="49" fontId="101" fillId="0" borderId="10">
      <alignment vertical="top"/>
      <protection locked="0"/>
    </xf>
    <xf numFmtId="184" fontId="90" fillId="0" borderId="44">
      <protection locked="0"/>
    </xf>
    <xf numFmtId="185" fontId="90" fillId="0" borderId="44">
      <protection locked="0"/>
    </xf>
    <xf numFmtId="49" fontId="101" fillId="0" borderId="44" applyFill="0" applyAlignment="0">
      <alignment horizontal="left"/>
      <protection locked="0"/>
    </xf>
    <xf numFmtId="0" fontId="5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9" fillId="0" borderId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32" fillId="0" borderId="0"/>
    <xf numFmtId="164" fontId="32" fillId="0" borderId="0"/>
    <xf numFmtId="164" fontId="32" fillId="0" borderId="0"/>
    <xf numFmtId="164" fontId="32" fillId="0" borderId="0"/>
  </cellStyleXfs>
  <cellXfs count="189">
    <xf numFmtId="0" fontId="0" fillId="0" borderId="0" xfId="0"/>
    <xf numFmtId="0" fontId="0" fillId="0" borderId="12" xfId="0" applyBorder="1"/>
    <xf numFmtId="0" fontId="0" fillId="34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34" borderId="14" xfId="0" applyFont="1" applyFill="1" applyBorder="1"/>
    <xf numFmtId="0" fontId="0" fillId="34" borderId="15" xfId="0" applyFill="1" applyBorder="1"/>
    <xf numFmtId="0" fontId="0" fillId="0" borderId="16" xfId="0" applyBorder="1"/>
    <xf numFmtId="0" fontId="0" fillId="0" borderId="17" xfId="0" applyBorder="1"/>
    <xf numFmtId="0" fontId="0" fillId="34" borderId="16" xfId="0" applyFill="1" applyBorder="1"/>
    <xf numFmtId="0" fontId="18" fillId="34" borderId="16" xfId="0" applyFont="1" applyFill="1" applyBorder="1"/>
    <xf numFmtId="0" fontId="0" fillId="34" borderId="17" xfId="0" applyFill="1" applyBorder="1"/>
    <xf numFmtId="0" fontId="19" fillId="34" borderId="16" xfId="0" applyFont="1" applyFill="1" applyBorder="1"/>
    <xf numFmtId="0" fontId="19" fillId="34" borderId="17" xfId="0" applyFont="1" applyFill="1" applyBorder="1"/>
    <xf numFmtId="0" fontId="19" fillId="34" borderId="14" xfId="0" applyFont="1" applyFill="1" applyBorder="1"/>
    <xf numFmtId="0" fontId="19" fillId="34" borderId="15" xfId="0" applyFont="1" applyFill="1" applyBorder="1"/>
    <xf numFmtId="0" fontId="18" fillId="34" borderId="17" xfId="0" applyFont="1" applyFill="1" applyBorder="1"/>
    <xf numFmtId="0" fontId="16" fillId="34" borderId="14" xfId="0" applyFont="1" applyFill="1" applyBorder="1"/>
    <xf numFmtId="0" fontId="18" fillId="34" borderId="15" xfId="0" applyFont="1" applyFill="1" applyBorder="1"/>
    <xf numFmtId="0" fontId="16" fillId="34" borderId="15" xfId="0" applyFont="1" applyFill="1" applyBorder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/>
    <xf numFmtId="0" fontId="19" fillId="34" borderId="12" xfId="0" applyFont="1" applyFill="1" applyBorder="1"/>
    <xf numFmtId="0" fontId="18" fillId="34" borderId="12" xfId="0" applyFont="1" applyFill="1" applyBorder="1"/>
    <xf numFmtId="0" fontId="20" fillId="34" borderId="0" xfId="0" applyFont="1" applyFill="1"/>
    <xf numFmtId="0" fontId="0" fillId="34" borderId="14" xfId="0" applyFill="1" applyBorder="1"/>
    <xf numFmtId="9" fontId="0" fillId="0" borderId="10" xfId="1" applyFont="1" applyBorder="1"/>
    <xf numFmtId="0" fontId="27" fillId="106" borderId="10" xfId="548" applyFont="1" applyFill="1" applyBorder="1" applyAlignment="1">
      <alignment horizontal="center" vertical="center" wrapText="1"/>
    </xf>
    <xf numFmtId="0" fontId="27" fillId="106" borderId="10" xfId="548" applyFont="1" applyFill="1" applyBorder="1" applyAlignment="1">
      <alignment horizontal="center" vertical="center"/>
    </xf>
    <xf numFmtId="1" fontId="28" fillId="34" borderId="10" xfId="514" applyNumberFormat="1" applyFont="1" applyFill="1" applyBorder="1" applyAlignment="1">
      <alignment horizontal="center"/>
    </xf>
    <xf numFmtId="1" fontId="29" fillId="34" borderId="10" xfId="514" applyNumberFormat="1" applyFont="1" applyFill="1" applyBorder="1" applyAlignment="1">
      <alignment horizontal="right"/>
    </xf>
    <xf numFmtId="1" fontId="30" fillId="34" borderId="10" xfId="514" applyNumberFormat="1" applyFont="1" applyFill="1" applyBorder="1" applyAlignment="1">
      <alignment horizontal="right"/>
    </xf>
    <xf numFmtId="1" fontId="30" fillId="38" borderId="10" xfId="548" applyNumberFormat="1" applyFont="1" applyFill="1" applyBorder="1" applyAlignment="1">
      <alignment horizontal="right"/>
    </xf>
    <xf numFmtId="1" fontId="24" fillId="34" borderId="10" xfId="514" applyNumberFormat="1" applyFont="1" applyFill="1" applyBorder="1" applyAlignment="1">
      <alignment horizontal="left"/>
    </xf>
    <xf numFmtId="1" fontId="24" fillId="34" borderId="10" xfId="514" applyNumberFormat="1" applyFont="1" applyFill="1" applyBorder="1" applyAlignment="1">
      <alignment horizontal="center"/>
    </xf>
    <xf numFmtId="1" fontId="25" fillId="34" borderId="10" xfId="514" applyNumberFormat="1" applyFont="1" applyFill="1" applyBorder="1" applyAlignment="1">
      <alignment horizontal="right"/>
    </xf>
    <xf numFmtId="3" fontId="25" fillId="34" borderId="10" xfId="514" applyNumberFormat="1" applyFont="1" applyFill="1" applyBorder="1" applyAlignment="1">
      <alignment horizontal="right"/>
    </xf>
    <xf numFmtId="0" fontId="24" fillId="38" borderId="10" xfId="548" applyFont="1" applyFill="1" applyBorder="1"/>
    <xf numFmtId="1" fontId="24" fillId="34" borderId="10" xfId="548" applyNumberFormat="1" applyFont="1" applyFill="1" applyBorder="1" applyAlignment="1">
      <alignment horizontal="left"/>
    </xf>
    <xf numFmtId="0" fontId="24" fillId="38" borderId="10" xfId="548" applyFont="1" applyFill="1" applyBorder="1" applyAlignment="1">
      <alignment horizontal="right"/>
    </xf>
    <xf numFmtId="0" fontId="24" fillId="38" borderId="10" xfId="548" applyFont="1" applyFill="1" applyBorder="1" applyAlignment="1">
      <alignment horizontal="center"/>
    </xf>
    <xf numFmtId="1" fontId="25" fillId="34" borderId="10" xfId="549" applyNumberFormat="1" applyFont="1" applyFill="1" applyBorder="1" applyAlignment="1">
      <alignment horizontal="right"/>
    </xf>
    <xf numFmtId="3" fontId="25" fillId="34" borderId="10" xfId="549" applyNumberFormat="1" applyFont="1" applyFill="1" applyBorder="1" applyAlignment="1">
      <alignment horizontal="right"/>
    </xf>
    <xf numFmtId="0" fontId="0" fillId="34" borderId="10" xfId="0" applyFill="1" applyBorder="1"/>
    <xf numFmtId="1" fontId="30" fillId="34" borderId="0" xfId="548" applyNumberFormat="1" applyFont="1" applyFill="1" applyAlignment="1">
      <alignment horizontal="right"/>
    </xf>
    <xf numFmtId="1" fontId="110" fillId="0" borderId="0" xfId="790" applyNumberFormat="1" applyFont="1" applyAlignment="1">
      <alignment horizontal="right"/>
    </xf>
    <xf numFmtId="1" fontId="29" fillId="34" borderId="0" xfId="514" applyNumberFormat="1" applyFont="1" applyFill="1" applyAlignment="1">
      <alignment horizontal="right"/>
    </xf>
    <xf numFmtId="0" fontId="0" fillId="0" borderId="0" xfId="0" pivotButton="1"/>
    <xf numFmtId="9" fontId="0" fillId="0" borderId="0" xfId="1" applyFont="1"/>
    <xf numFmtId="0" fontId="16" fillId="109" borderId="10" xfId="0" applyFont="1" applyFill="1" applyBorder="1"/>
    <xf numFmtId="0" fontId="0" fillId="0" borderId="10" xfId="0" applyBorder="1" applyAlignment="1">
      <alignment horizontal="left"/>
    </xf>
    <xf numFmtId="9" fontId="0" fillId="110" borderId="10" xfId="1" applyFont="1" applyFill="1" applyBorder="1"/>
    <xf numFmtId="0" fontId="0" fillId="40" borderId="10" xfId="0" applyFill="1" applyBorder="1" applyAlignment="1">
      <alignment horizontal="left"/>
    </xf>
    <xf numFmtId="9" fontId="0" fillId="40" borderId="10" xfId="1" applyFont="1" applyFill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18" fillId="39" borderId="15" xfId="0" applyFont="1" applyFill="1" applyBorder="1" applyAlignment="1">
      <alignment horizontal="center"/>
    </xf>
    <xf numFmtId="0" fontId="18" fillId="39" borderId="10" xfId="0" applyFont="1" applyFill="1" applyBorder="1" applyAlignment="1">
      <alignment horizontal="center"/>
    </xf>
    <xf numFmtId="0" fontId="18" fillId="34" borderId="0" xfId="0" applyFont="1" applyFill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1" applyNumberFormat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17" fontId="0" fillId="36" borderId="10" xfId="0" applyNumberFormat="1" applyFill="1" applyBorder="1" applyAlignment="1">
      <alignment horizontal="center"/>
    </xf>
    <xf numFmtId="2" fontId="0" fillId="36" borderId="10" xfId="1" applyNumberFormat="1" applyFont="1" applyFill="1" applyBorder="1" applyAlignment="1">
      <alignment horizontal="center"/>
    </xf>
    <xf numFmtId="17" fontId="0" fillId="44" borderId="10" xfId="0" applyNumberFormat="1" applyFill="1" applyBorder="1" applyAlignment="1">
      <alignment horizontal="center"/>
    </xf>
    <xf numFmtId="2" fontId="0" fillId="44" borderId="10" xfId="1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111" fillId="44" borderId="13" xfId="0" applyFont="1" applyFill="1" applyBorder="1" applyAlignment="1">
      <alignment horizontal="center"/>
    </xf>
    <xf numFmtId="0" fontId="111" fillId="44" borderId="14" xfId="0" applyFont="1" applyFill="1" applyBorder="1" applyAlignment="1">
      <alignment horizontal="center"/>
    </xf>
    <xf numFmtId="0" fontId="112" fillId="44" borderId="50" xfId="0" applyFont="1" applyFill="1" applyBorder="1" applyAlignment="1">
      <alignment horizontal="center"/>
    </xf>
    <xf numFmtId="0" fontId="111" fillId="44" borderId="15" xfId="0" applyFont="1" applyFill="1" applyBorder="1" applyAlignment="1">
      <alignment horizontal="center"/>
    </xf>
    <xf numFmtId="0" fontId="113" fillId="44" borderId="21" xfId="0" applyFont="1" applyFill="1" applyBorder="1" applyAlignment="1">
      <alignment horizontal="center"/>
    </xf>
    <xf numFmtId="0" fontId="113" fillId="44" borderId="24" xfId="0" applyFont="1" applyFill="1" applyBorder="1" applyAlignment="1">
      <alignment horizontal="center"/>
    </xf>
    <xf numFmtId="0" fontId="111" fillId="44" borderId="53" xfId="0" applyFont="1" applyFill="1" applyBorder="1" applyAlignment="1">
      <alignment horizontal="center"/>
    </xf>
    <xf numFmtId="0" fontId="111" fillId="44" borderId="51" xfId="0" applyFont="1" applyFill="1" applyBorder="1" applyAlignment="1">
      <alignment horizontal="center"/>
    </xf>
    <xf numFmtId="0" fontId="111" fillId="44" borderId="22" xfId="0" applyFont="1" applyFill="1" applyBorder="1" applyAlignment="1">
      <alignment horizontal="center"/>
    </xf>
    <xf numFmtId="0" fontId="111" fillId="44" borderId="23" xfId="0" applyFont="1" applyFill="1" applyBorder="1" applyAlignment="1">
      <alignment horizontal="center"/>
    </xf>
    <xf numFmtId="0" fontId="111" fillId="44" borderId="16" xfId="0" applyFont="1" applyFill="1" applyBorder="1" applyAlignment="1">
      <alignment horizontal="center"/>
    </xf>
    <xf numFmtId="0" fontId="111" fillId="44" borderId="52" xfId="0" applyFont="1" applyFill="1" applyBorder="1" applyAlignment="1">
      <alignment horizontal="center"/>
    </xf>
    <xf numFmtId="0" fontId="111" fillId="44" borderId="17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14" fillId="44" borderId="16" xfId="0" applyFont="1" applyFill="1" applyBorder="1" applyAlignment="1">
      <alignment horizontal="center"/>
    </xf>
    <xf numFmtId="0" fontId="111" fillId="44" borderId="21" xfId="0" applyFont="1" applyFill="1" applyBorder="1" applyAlignment="1">
      <alignment horizontal="center"/>
    </xf>
    <xf numFmtId="0" fontId="111" fillId="44" borderId="24" xfId="0" applyFont="1" applyFill="1" applyBorder="1" applyAlignment="1">
      <alignment horizontal="center"/>
    </xf>
    <xf numFmtId="0" fontId="16" fillId="110" borderId="10" xfId="0" applyFont="1" applyFill="1" applyBorder="1" applyAlignment="1">
      <alignment horizontal="center"/>
    </xf>
    <xf numFmtId="0" fontId="16" fillId="109" borderId="10" xfId="0" applyFont="1" applyFill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38" borderId="21" xfId="0" applyFill="1" applyBorder="1"/>
    <xf numFmtId="0" fontId="0" fillId="38" borderId="22" xfId="0" applyFill="1" applyBorder="1"/>
    <xf numFmtId="0" fontId="0" fillId="38" borderId="23" xfId="0" applyFill="1" applyBorder="1"/>
    <xf numFmtId="0" fontId="0" fillId="38" borderId="11" xfId="0" applyFill="1" applyBorder="1"/>
    <xf numFmtId="0" fontId="0" fillId="38" borderId="0" xfId="0" applyFill="1"/>
    <xf numFmtId="0" fontId="0" fillId="38" borderId="12" xfId="0" applyFill="1" applyBorder="1"/>
    <xf numFmtId="0" fontId="0" fillId="38" borderId="24" xfId="0" applyFill="1" applyBorder="1"/>
    <xf numFmtId="0" fontId="0" fillId="38" borderId="16" xfId="0" applyFill="1" applyBorder="1"/>
    <xf numFmtId="0" fontId="0" fillId="38" borderId="17" xfId="0" applyFill="1" applyBorder="1"/>
    <xf numFmtId="0" fontId="18" fillId="107" borderId="10" xfId="0" applyFont="1" applyFill="1" applyBorder="1" applyAlignment="1">
      <alignment horizontal="center"/>
    </xf>
    <xf numFmtId="0" fontId="20" fillId="41" borderId="10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44" borderId="13" xfId="0" applyFont="1" applyFill="1" applyBorder="1" applyAlignment="1">
      <alignment horizontal="center"/>
    </xf>
    <xf numFmtId="166" fontId="0" fillId="44" borderId="10" xfId="0" applyNumberFormat="1" applyFill="1" applyBorder="1" applyAlignment="1">
      <alignment horizontal="center"/>
    </xf>
    <xf numFmtId="0" fontId="16" fillId="43" borderId="10" xfId="0" applyFont="1" applyFill="1" applyBorder="1" applyAlignment="1">
      <alignment horizontal="center"/>
    </xf>
    <xf numFmtId="0" fontId="16" fillId="44" borderId="10" xfId="0" applyFont="1" applyFill="1" applyBorder="1" applyAlignment="1">
      <alignment horizontal="center" vertical="center" wrapText="1"/>
    </xf>
    <xf numFmtId="167" fontId="0" fillId="0" borderId="10" xfId="0" applyNumberFormat="1" applyBorder="1" applyAlignment="1">
      <alignment horizontal="center"/>
    </xf>
    <xf numFmtId="0" fontId="115" fillId="0" borderId="0" xfId="586" quotePrefix="1" applyFont="1" applyAlignment="1">
      <alignment horizontal="center"/>
    </xf>
    <xf numFmtId="15" fontId="116" fillId="0" borderId="0" xfId="548" applyNumberFormat="1" applyFont="1"/>
    <xf numFmtId="0" fontId="116" fillId="0" borderId="0" xfId="548" applyFont="1"/>
    <xf numFmtId="0" fontId="118" fillId="0" borderId="21" xfId="548" applyFont="1" applyBorder="1" applyAlignment="1">
      <alignment vertical="center"/>
    </xf>
    <xf numFmtId="0" fontId="118" fillId="0" borderId="22" xfId="548" applyFont="1" applyBorder="1" applyAlignment="1">
      <alignment vertical="center"/>
    </xf>
    <xf numFmtId="0" fontId="118" fillId="0" borderId="0" xfId="548" applyFont="1" applyAlignment="1">
      <alignment vertical="center" wrapText="1"/>
    </xf>
    <xf numFmtId="0" fontId="119" fillId="0" borderId="0" xfId="549" applyFont="1" applyAlignment="1">
      <alignment horizontal="left" vertical="center" wrapText="1"/>
    </xf>
    <xf numFmtId="0" fontId="118" fillId="0" borderId="0" xfId="548" applyFont="1" applyAlignment="1">
      <alignment horizontal="left" vertical="center" wrapText="1"/>
    </xf>
    <xf numFmtId="0" fontId="120" fillId="0" borderId="0" xfId="549" quotePrefix="1" applyFont="1" applyAlignment="1">
      <alignment horizontal="left"/>
    </xf>
    <xf numFmtId="0" fontId="25" fillId="0" borderId="0" xfId="548" applyFont="1"/>
    <xf numFmtId="0" fontId="26" fillId="0" borderId="0" xfId="548" applyFont="1"/>
    <xf numFmtId="0" fontId="118" fillId="0" borderId="0" xfId="548" quotePrefix="1" applyFont="1" applyAlignment="1">
      <alignment horizontal="left"/>
    </xf>
    <xf numFmtId="166" fontId="0" fillId="36" borderId="10" xfId="0" applyNumberForma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1" fontId="0" fillId="0" borderId="0" xfId="0" applyNumberFormat="1"/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29" fillId="34" borderId="0" xfId="514" applyNumberFormat="1" applyFont="1" applyFill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20" fillId="38" borderId="10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2" fontId="0" fillId="34" borderId="10" xfId="0" applyNumberFormat="1" applyFill="1" applyBorder="1"/>
    <xf numFmtId="0" fontId="16" fillId="44" borderId="10" xfId="0" applyFont="1" applyFill="1" applyBorder="1" applyAlignment="1">
      <alignment horizontal="center"/>
    </xf>
    <xf numFmtId="2" fontId="0" fillId="44" borderId="10" xfId="0" applyNumberFormat="1" applyFill="1" applyBorder="1"/>
    <xf numFmtId="0" fontId="20" fillId="38" borderId="10" xfId="0" applyFont="1" applyFill="1" applyBorder="1"/>
    <xf numFmtId="0" fontId="22" fillId="40" borderId="22" xfId="0" applyFont="1" applyFill="1" applyBorder="1" applyAlignment="1">
      <alignment horizontal="center" vertical="center"/>
    </xf>
    <xf numFmtId="0" fontId="16" fillId="40" borderId="21" xfId="0" applyFont="1" applyFill="1" applyBorder="1" applyAlignment="1">
      <alignment horizontal="center"/>
    </xf>
    <xf numFmtId="0" fontId="16" fillId="40" borderId="22" xfId="0" applyFont="1" applyFill="1" applyBorder="1" applyAlignment="1">
      <alignment horizontal="center"/>
    </xf>
    <xf numFmtId="0" fontId="16" fillId="40" borderId="23" xfId="0" applyFont="1" applyFill="1" applyBorder="1" applyAlignment="1">
      <alignment horizontal="center"/>
    </xf>
    <xf numFmtId="0" fontId="16" fillId="40" borderId="11" xfId="0" applyFont="1" applyFill="1" applyBorder="1" applyAlignment="1">
      <alignment horizontal="center"/>
    </xf>
    <xf numFmtId="0" fontId="16" fillId="40" borderId="0" xfId="0" applyFont="1" applyFill="1" applyAlignment="1">
      <alignment horizontal="center"/>
    </xf>
    <xf numFmtId="0" fontId="121" fillId="40" borderId="0" xfId="0" applyFont="1" applyFill="1" applyAlignment="1">
      <alignment horizontal="center" vertical="center"/>
    </xf>
    <xf numFmtId="0" fontId="16" fillId="40" borderId="12" xfId="0" applyFont="1" applyFill="1" applyBorder="1" applyAlignment="1">
      <alignment horizontal="center"/>
    </xf>
    <xf numFmtId="0" fontId="16" fillId="40" borderId="24" xfId="0" applyFont="1" applyFill="1" applyBorder="1" applyAlignment="1">
      <alignment horizontal="center"/>
    </xf>
    <xf numFmtId="0" fontId="16" fillId="40" borderId="16" xfId="0" applyFont="1" applyFill="1" applyBorder="1" applyAlignment="1">
      <alignment horizontal="center"/>
    </xf>
    <xf numFmtId="0" fontId="121" fillId="40" borderId="24" xfId="0" applyFont="1" applyFill="1" applyBorder="1" applyAlignment="1">
      <alignment horizontal="center" vertical="center"/>
    </xf>
    <xf numFmtId="0" fontId="16" fillId="40" borderId="17" xfId="0" applyFont="1" applyFill="1" applyBorder="1" applyAlignment="1">
      <alignment horizontal="center"/>
    </xf>
    <xf numFmtId="0" fontId="23" fillId="40" borderId="22" xfId="0" applyFont="1" applyFill="1" applyBorder="1"/>
    <xf numFmtId="0" fontId="20" fillId="40" borderId="22" xfId="0" applyFont="1" applyFill="1" applyBorder="1"/>
    <xf numFmtId="0" fontId="0" fillId="108" borderId="21" xfId="0" applyFill="1" applyBorder="1"/>
    <xf numFmtId="0" fontId="0" fillId="108" borderId="22" xfId="0" applyFill="1" applyBorder="1"/>
    <xf numFmtId="0" fontId="0" fillId="108" borderId="23" xfId="0" applyFill="1" applyBorder="1"/>
    <xf numFmtId="0" fontId="0" fillId="108" borderId="11" xfId="0" applyFill="1" applyBorder="1"/>
    <xf numFmtId="0" fontId="0" fillId="108" borderId="0" xfId="0" applyFill="1"/>
    <xf numFmtId="0" fontId="18" fillId="108" borderId="0" xfId="0" applyFont="1" applyFill="1"/>
    <xf numFmtId="0" fontId="0" fillId="108" borderId="12" xfId="0" applyFill="1" applyBorder="1"/>
    <xf numFmtId="0" fontId="0" fillId="108" borderId="24" xfId="0" applyFill="1" applyBorder="1"/>
    <xf numFmtId="0" fontId="0" fillId="108" borderId="16" xfId="0" applyFill="1" applyBorder="1"/>
    <xf numFmtId="0" fontId="0" fillId="108" borderId="17" xfId="0" applyFill="1" applyBorder="1"/>
    <xf numFmtId="0" fontId="20" fillId="35" borderId="13" xfId="0" applyFont="1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9" fontId="16" fillId="0" borderId="10" xfId="0" applyNumberFormat="1" applyFont="1" applyBorder="1" applyAlignment="1">
      <alignment horizontal="center"/>
    </xf>
    <xf numFmtId="9" fontId="0" fillId="36" borderId="10" xfId="1" applyFont="1" applyFill="1" applyBorder="1" applyAlignment="1">
      <alignment horizontal="center"/>
    </xf>
    <xf numFmtId="0" fontId="23" fillId="35" borderId="10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2" fontId="0" fillId="36" borderId="10" xfId="0" applyNumberFormat="1" applyFill="1" applyBorder="1"/>
    <xf numFmtId="0" fontId="0" fillId="44" borderId="21" xfId="0" applyFill="1" applyBorder="1"/>
    <xf numFmtId="0" fontId="122" fillId="44" borderId="22" xfId="0" applyFont="1" applyFill="1" applyBorder="1"/>
    <xf numFmtId="0" fontId="23" fillId="44" borderId="22" xfId="0" applyFont="1" applyFill="1" applyBorder="1" applyAlignment="1">
      <alignment horizontal="center"/>
    </xf>
    <xf numFmtId="0" fontId="16" fillId="44" borderId="23" xfId="0" applyFont="1" applyFill="1" applyBorder="1" applyAlignment="1">
      <alignment horizontal="center"/>
    </xf>
    <xf numFmtId="0" fontId="0" fillId="44" borderId="11" xfId="0" applyFill="1" applyBorder="1"/>
    <xf numFmtId="0" fontId="16" fillId="44" borderId="0" xfId="0" applyFont="1" applyFill="1" applyAlignment="1">
      <alignment horizontal="center"/>
    </xf>
    <xf numFmtId="0" fontId="16" fillId="44" borderId="12" xfId="0" applyFont="1" applyFill="1" applyBorder="1" applyAlignment="1">
      <alignment horizontal="center"/>
    </xf>
    <xf numFmtId="0" fontId="0" fillId="44" borderId="24" xfId="0" applyFill="1" applyBorder="1"/>
    <xf numFmtId="0" fontId="0" fillId="44" borderId="16" xfId="0" applyFill="1" applyBorder="1"/>
    <xf numFmtId="0" fontId="0" fillId="44" borderId="17" xfId="0" applyFill="1" applyBorder="1"/>
    <xf numFmtId="0" fontId="16" fillId="44" borderId="0" xfId="0" applyFont="1" applyFill="1"/>
    <xf numFmtId="0" fontId="16" fillId="42" borderId="25" xfId="0" applyFont="1" applyFill="1" applyBorder="1"/>
    <xf numFmtId="0" fontId="16" fillId="42" borderId="20" xfId="0" applyFont="1" applyFill="1" applyBorder="1"/>
    <xf numFmtId="0" fontId="27" fillId="37" borderId="10" xfId="586" applyFont="1" applyFill="1" applyBorder="1" applyAlignment="1">
      <alignment horizontal="center" vertical="center"/>
    </xf>
    <xf numFmtId="0" fontId="117" fillId="0" borderId="0" xfId="586" applyFont="1" applyAlignment="1">
      <alignment horizontal="right"/>
    </xf>
  </cellXfs>
  <cellStyles count="805">
    <cellStyle name="µÚ¿¡ ¿À´Â ÇÏÀÌÆÛ¸µÅ©" xfId="44" xr:uid="{18231C9E-FC81-4FAC-B618-601C7C245843}"/>
    <cellStyle name="W?_BOOKSHIP_laroux_´ë¿ÜÇÑ¹®°ø¹® " xfId="45" xr:uid="{C512BE78-9EAA-46C3-AB1C-557326A723D5}"/>
    <cellStyle name="¹éºÐÀ²_±âÅ¸" xfId="46" xr:uid="{4319F194-D4B3-46B6-BDA3-94590713A0D1}"/>
    <cellStyle name="20% - Accent1" xfId="20" builtinId="30" customBuiltin="1"/>
    <cellStyle name="20% - Accent1 2" xfId="47" xr:uid="{EC04F483-AE47-4498-AE1A-8AEEF8EB9ED1}"/>
    <cellStyle name="20% - Accent1 2 2" xfId="48" xr:uid="{955C5751-D992-43F6-A7C3-2553E7F6C8C4}"/>
    <cellStyle name="20% - Accent1 2 3" xfId="49" xr:uid="{2250A39E-84E5-479B-B1A8-D19C6929C958}"/>
    <cellStyle name="20% - Accent1 3" xfId="50" xr:uid="{28687B94-645E-4ACF-9640-F529776800F4}"/>
    <cellStyle name="20% - Accent1 3 2" xfId="51" xr:uid="{BC6502B2-E978-42FD-898B-3AE9326C1E83}"/>
    <cellStyle name="20% - Accent1 4" xfId="52" xr:uid="{6F9E6CC4-7169-422A-ABCA-37FA967B482F}"/>
    <cellStyle name="20% - Accent1 4 2" xfId="53" xr:uid="{3185FEEE-2ABB-4DF9-8374-1DE385CD3D18}"/>
    <cellStyle name="20% - Accent1 5" xfId="54" xr:uid="{B6242585-558C-47D8-B58C-9EAFCCFE92C5}"/>
    <cellStyle name="20% - Accent2" xfId="24" builtinId="34" customBuiltin="1"/>
    <cellStyle name="20% - Accent2 2" xfId="55" xr:uid="{C4C6655D-F635-4962-9345-C8B8ADCE2FDB}"/>
    <cellStyle name="20% - Accent2 2 2" xfId="56" xr:uid="{4390AB20-D5B5-4EED-9287-36FE683AB77A}"/>
    <cellStyle name="20% - Accent2 2 3" xfId="57" xr:uid="{B891CD0B-7981-46FF-B669-2F5C847779AE}"/>
    <cellStyle name="20% - Accent2 3" xfId="58" xr:uid="{8E386321-8D6F-4653-8CA0-06F4914840FB}"/>
    <cellStyle name="20% - Accent2 3 2" xfId="59" xr:uid="{019F4852-EB1D-4E27-AF98-F9B4FAA011CA}"/>
    <cellStyle name="20% - Accent2 4" xfId="60" xr:uid="{FB7F4061-8310-4D22-B800-38476D9EBF26}"/>
    <cellStyle name="20% - Accent2 4 2" xfId="61" xr:uid="{43E510A3-4581-4213-832B-2C4B4940C380}"/>
    <cellStyle name="20% - Accent2 5" xfId="62" xr:uid="{55225F7C-8065-4B8E-A736-29B30A83A521}"/>
    <cellStyle name="20% - Accent3" xfId="28" builtinId="38" customBuiltin="1"/>
    <cellStyle name="20% - Accent3 2" xfId="63" xr:uid="{5ACBCA95-48FF-43D4-9A02-AC2A9536F662}"/>
    <cellStyle name="20% - Accent3 2 2" xfId="64" xr:uid="{206772D9-D461-4D9C-A477-4462D61B3B9E}"/>
    <cellStyle name="20% - Accent3 2 3" xfId="65" xr:uid="{5221502B-7C48-4F1D-9C88-14748220BB0C}"/>
    <cellStyle name="20% - Accent3 3" xfId="66" xr:uid="{3E03C9C4-3F4F-4FF7-A4CE-45AA287087D3}"/>
    <cellStyle name="20% - Accent3 3 2" xfId="67" xr:uid="{E6B6A7E0-E4B1-46CB-AB62-1613682DE9AF}"/>
    <cellStyle name="20% - Accent3 4" xfId="68" xr:uid="{33002F27-A267-4486-8C01-69D87A9BA55B}"/>
    <cellStyle name="20% - Accent3 4 2" xfId="69" xr:uid="{533E7C73-BD8B-432C-933A-9D4ED49D0CB7}"/>
    <cellStyle name="20% - Accent3 5" xfId="70" xr:uid="{0614549E-4D5A-41AF-B087-ED5D2AED6F2C}"/>
    <cellStyle name="20% - Accent4" xfId="32" builtinId="42" customBuiltin="1"/>
    <cellStyle name="20% - Accent4 2" xfId="71" xr:uid="{CCB3F179-D963-4378-97B6-ABF5444F3321}"/>
    <cellStyle name="20% - Accent4 2 2" xfId="72" xr:uid="{95423218-1DFC-4C06-8CC9-AD6651CC045D}"/>
    <cellStyle name="20% - Accent4 2 3" xfId="73" xr:uid="{07BDFA08-F040-4426-AAB9-5C5842482F83}"/>
    <cellStyle name="20% - Accent4 3" xfId="74" xr:uid="{60E0E11C-CADC-4A76-AF4B-A0B54F9DADA7}"/>
    <cellStyle name="20% - Accent4 3 2" xfId="75" xr:uid="{3DAAE5DC-F656-4650-96EF-280C28118B39}"/>
    <cellStyle name="20% - Accent4 4" xfId="76" xr:uid="{635F9D75-B06A-45EB-8620-2D39A77C41BD}"/>
    <cellStyle name="20% - Accent4 4 2" xfId="77" xr:uid="{B7EEA0FC-31B7-405B-9C51-49F01D298C9A}"/>
    <cellStyle name="20% - Accent4 5" xfId="78" xr:uid="{810C466A-5B54-47A2-838E-2EE4BDC2CC77}"/>
    <cellStyle name="20% - Accent5" xfId="36" builtinId="46" customBuiltin="1"/>
    <cellStyle name="20% - Accent5 2" xfId="79" xr:uid="{9A0D02F5-9B65-456E-A9CE-BA1F7B0D3A5D}"/>
    <cellStyle name="20% - Accent5 2 2" xfId="80" xr:uid="{A91825B5-F219-4829-90BB-8AA0707C52EB}"/>
    <cellStyle name="20% - Accent5 2 3" xfId="81" xr:uid="{65C2B2AB-B8CC-4C5A-A8E6-B11AC1888468}"/>
    <cellStyle name="20% - Accent5 3" xfId="82" xr:uid="{F88FFFD7-9287-4EFA-A1C9-35DD942EB480}"/>
    <cellStyle name="20% - Accent5 3 2" xfId="83" xr:uid="{1CCC9D5A-DE11-4BFA-8F32-56DE7583D9E6}"/>
    <cellStyle name="20% - Accent5 4" xfId="84" xr:uid="{6DC44D75-284C-498C-AE2E-CA99491F1DC8}"/>
    <cellStyle name="20% - Accent5 4 2" xfId="85" xr:uid="{2F7BC90B-51B3-47A0-86E7-7F8191CBE216}"/>
    <cellStyle name="20% - Accent5 5" xfId="86" xr:uid="{78EA18D9-8E48-4161-8587-27EBF36741BE}"/>
    <cellStyle name="20% - Accent6" xfId="40" builtinId="50" customBuiltin="1"/>
    <cellStyle name="20% - Accent6 2" xfId="87" xr:uid="{BE0EA6FA-2BC7-4357-96BC-1F6BE6FF730F}"/>
    <cellStyle name="20% - Accent6 2 2" xfId="88" xr:uid="{74104147-B532-4F2C-BE92-AE9A90FD8421}"/>
    <cellStyle name="20% - Accent6 2 3" xfId="89" xr:uid="{8D1EB64D-5330-4B54-BDF4-F35AC3BD2677}"/>
    <cellStyle name="20% - Accent6 3" xfId="90" xr:uid="{638DAD2E-59CA-4736-A46F-0F35840AA0CF}"/>
    <cellStyle name="20% - Accent6 3 2" xfId="91" xr:uid="{DC5BD3EA-79B3-4341-A453-C7979B92C46B}"/>
    <cellStyle name="20% - Accent6 4" xfId="92" xr:uid="{FCB18523-81DD-4465-9963-C068410E6D00}"/>
    <cellStyle name="20% - Accent6 4 2" xfId="93" xr:uid="{1572E33F-E924-442C-B754-8CB86B279C10}"/>
    <cellStyle name="20% - Accent6 5" xfId="94" xr:uid="{5E4ADBD9-38C7-4CBE-A4A8-3C6C13BFD939}"/>
    <cellStyle name="40% - Accent1" xfId="21" builtinId="31" customBuiltin="1"/>
    <cellStyle name="40% - Accent1 2" xfId="95" xr:uid="{A6AC54DC-A3A4-4FC8-BBB3-E059AFB7904D}"/>
    <cellStyle name="40% - Accent1 2 2" xfId="96" xr:uid="{AAB04861-78EF-451A-AF86-D13A5FEC8465}"/>
    <cellStyle name="40% - Accent1 2 3" xfId="97" xr:uid="{7215FEDC-D498-4540-BDB0-B720D723CE58}"/>
    <cellStyle name="40% - Accent1 3" xfId="98" xr:uid="{E84EAD8F-9958-43E9-B50D-F4BC27E7F367}"/>
    <cellStyle name="40% - Accent1 3 2" xfId="99" xr:uid="{DB94653A-F3EA-4668-B6DA-1AD71ADF5866}"/>
    <cellStyle name="40% - Accent1 4" xfId="100" xr:uid="{A9D9FC45-234D-43D6-B76A-694199AED1BE}"/>
    <cellStyle name="40% - Accent1 4 2" xfId="101" xr:uid="{07574C03-9ECE-4147-80FD-0B3CA417999B}"/>
    <cellStyle name="40% - Accent1 5" xfId="102" xr:uid="{A3630B4C-D4EC-41B7-913E-7390C09F2ACE}"/>
    <cellStyle name="40% - Accent2" xfId="25" builtinId="35" customBuiltin="1"/>
    <cellStyle name="40% - Accent2 2" xfId="103" xr:uid="{1A90CB7D-6BA0-4E70-BFA5-BA6DD8F655D0}"/>
    <cellStyle name="40% - Accent2 2 2" xfId="104" xr:uid="{9245E079-BA9F-4CEA-8C1E-C55A2CDFE12E}"/>
    <cellStyle name="40% - Accent2 2 3" xfId="105" xr:uid="{E78357B4-00FB-484F-A65C-4AB39A05E070}"/>
    <cellStyle name="40% - Accent2 3" xfId="106" xr:uid="{B741C24B-5FE5-42DE-9AD3-552AA7C5B9F0}"/>
    <cellStyle name="40% - Accent2 3 2" xfId="107" xr:uid="{1AB8C9AD-30F4-4764-B900-19E12A0F5A85}"/>
    <cellStyle name="40% - Accent2 4" xfId="108" xr:uid="{44BADE69-8F4C-406A-8B33-E9B668DD90ED}"/>
    <cellStyle name="40% - Accent2 4 2" xfId="109" xr:uid="{E530F141-7B3F-43D1-9A1F-E668322B6209}"/>
    <cellStyle name="40% - Accent2 5" xfId="110" xr:uid="{92D1F228-AC6C-4CEB-8C41-F70F6E1EDE17}"/>
    <cellStyle name="40% - Accent3" xfId="29" builtinId="39" customBuiltin="1"/>
    <cellStyle name="40% - Accent3 2" xfId="111" xr:uid="{9866C645-0F79-49C2-8AB7-54CA944588C0}"/>
    <cellStyle name="40% - Accent3 2 2" xfId="112" xr:uid="{DF0B919B-4B05-44B7-A3F8-545FED50CE4E}"/>
    <cellStyle name="40% - Accent3 2 3" xfId="113" xr:uid="{84F16A20-6D9C-47B3-B4DA-C5FCC5138820}"/>
    <cellStyle name="40% - Accent3 3" xfId="114" xr:uid="{1DADFC5D-E5B3-403E-8A9A-47C148CF096B}"/>
    <cellStyle name="40% - Accent3 3 2" xfId="115" xr:uid="{101D9EF3-2774-4FF7-95D7-7555B2BA02E6}"/>
    <cellStyle name="40% - Accent3 4" xfId="116" xr:uid="{68E71EF9-0EE8-446C-A284-FA097DB6F331}"/>
    <cellStyle name="40% - Accent3 4 2" xfId="117" xr:uid="{CD0ABB8C-4D95-4807-9A47-BB680DBCEB18}"/>
    <cellStyle name="40% - Accent3 5" xfId="118" xr:uid="{9E3B090D-D837-4AA9-A63F-63209E23538D}"/>
    <cellStyle name="40% - Accent4" xfId="33" builtinId="43" customBuiltin="1"/>
    <cellStyle name="40% - Accent4 2" xfId="119" xr:uid="{931EC6CC-6083-4198-8540-4E4D8C035A6F}"/>
    <cellStyle name="40% - Accent4 2 2" xfId="120" xr:uid="{CECFC391-7D74-4A47-8241-6CD46A4B9E8C}"/>
    <cellStyle name="40% - Accent4 2 3" xfId="121" xr:uid="{165A9D17-F577-4009-94F8-FB830CCDDD31}"/>
    <cellStyle name="40% - Accent4 3" xfId="122" xr:uid="{0CC75D1B-4AC3-4A0B-82BD-02BFB92A474B}"/>
    <cellStyle name="40% - Accent4 3 2" xfId="123" xr:uid="{B610B73C-ED0B-4D53-B657-2E1E5FE22993}"/>
    <cellStyle name="40% - Accent4 4" xfId="124" xr:uid="{1086732D-98DA-4EBC-9D20-1C62D1ECE7C0}"/>
    <cellStyle name="40% - Accent4 4 2" xfId="125" xr:uid="{AE9F8B1B-A75B-42A6-9E8A-6EF96AA25CC3}"/>
    <cellStyle name="40% - Accent4 5" xfId="126" xr:uid="{D50CD286-AD87-4A02-8DDF-8EA41C2402ED}"/>
    <cellStyle name="40% - Accent5" xfId="37" builtinId="47" customBuiltin="1"/>
    <cellStyle name="40% - Accent5 2" xfId="127" xr:uid="{98F73B69-DEAA-453E-B06E-B33EBB7C5511}"/>
    <cellStyle name="40% - Accent5 2 2" xfId="128" xr:uid="{C075412F-6516-4364-A050-12AC0C481D11}"/>
    <cellStyle name="40% - Accent5 2 3" xfId="129" xr:uid="{83CD0538-D0BF-4AE7-B479-6775CD8A7DFB}"/>
    <cellStyle name="40% - Accent5 3" xfId="130" xr:uid="{7F813997-7E3C-4997-9AB2-E43EE1A007BF}"/>
    <cellStyle name="40% - Accent5 3 2" xfId="131" xr:uid="{51BAA1DF-4C57-4285-9F25-00C962548934}"/>
    <cellStyle name="40% - Accent5 4" xfId="132" xr:uid="{4ED05A1B-4777-4991-A8C4-0669134D7282}"/>
    <cellStyle name="40% - Accent5 4 2" xfId="133" xr:uid="{8B65428F-09D5-4073-9005-BB0D065F4A75}"/>
    <cellStyle name="40% - Accent5 5" xfId="134" xr:uid="{106E1115-6B73-4A17-BC0C-5E2EE778A574}"/>
    <cellStyle name="40% - Accent6" xfId="41" builtinId="51" customBuiltin="1"/>
    <cellStyle name="40% - Accent6 2" xfId="135" xr:uid="{FC600075-18A2-4FD7-AC37-D335C2363902}"/>
    <cellStyle name="40% - Accent6 2 2" xfId="136" xr:uid="{ABF4A516-5666-4CF6-8507-0A1DE2BFD8AE}"/>
    <cellStyle name="40% - Accent6 2 3" xfId="137" xr:uid="{EE6756C4-8D1E-4446-8A6C-BD477BCA1B7F}"/>
    <cellStyle name="40% - Accent6 3" xfId="138" xr:uid="{9F437935-5A32-422F-B6FB-EA7D0AF9786E}"/>
    <cellStyle name="40% - Accent6 3 2" xfId="139" xr:uid="{CFF06A60-4E50-40CA-961D-F89906673A6C}"/>
    <cellStyle name="40% - Accent6 4" xfId="140" xr:uid="{64F2DC84-C47C-4D07-82DA-3897ACC39534}"/>
    <cellStyle name="40% - Accent6 4 2" xfId="141" xr:uid="{0749E8DC-64E9-48C1-A536-F1621147F46D}"/>
    <cellStyle name="40% - Accent6 5" xfId="142" xr:uid="{042E1E62-910E-4D38-9838-CADAE1F9A232}"/>
    <cellStyle name="60% - Accent1" xfId="22" builtinId="32" customBuiltin="1"/>
    <cellStyle name="60% - Accent1 2" xfId="143" xr:uid="{A17C6D42-1760-466C-A82D-8F7D2EAC3F7A}"/>
    <cellStyle name="60% - Accent1 2 2" xfId="144" xr:uid="{B5F2008A-A834-4D57-B6FD-0B48E9E5FA0C}"/>
    <cellStyle name="60% - Accent1 2 3" xfId="145" xr:uid="{ACC2CE3D-093E-435C-8574-E59E554A93C0}"/>
    <cellStyle name="60% - Accent1 3" xfId="146" xr:uid="{62D12876-2A38-4410-9F8A-D9E3D305B130}"/>
    <cellStyle name="60% - Accent1 4" xfId="147" xr:uid="{EF65DF8C-BCCD-4CFF-8F84-2A148754E0F8}"/>
    <cellStyle name="60% - Accent1 5" xfId="148" xr:uid="{EC218323-12B1-460C-8CFB-B1F132B5478C}"/>
    <cellStyle name="60% - Accent2" xfId="26" builtinId="36" customBuiltin="1"/>
    <cellStyle name="60% - Accent2 2" xfId="149" xr:uid="{458CE724-A079-41FE-9572-7C8B1E8CED79}"/>
    <cellStyle name="60% - Accent2 2 2" xfId="150" xr:uid="{E4173620-6856-45CC-879C-925E2CE25800}"/>
    <cellStyle name="60% - Accent2 2 3" xfId="151" xr:uid="{CEFADB92-D278-4910-A676-0288EB287920}"/>
    <cellStyle name="60% - Accent2 3" xfId="152" xr:uid="{F3901B27-1A9A-470D-8406-9EBAC082970E}"/>
    <cellStyle name="60% - Accent2 4" xfId="153" xr:uid="{42D1CC46-4884-4021-BF27-A93FC6300793}"/>
    <cellStyle name="60% - Accent2 5" xfId="154" xr:uid="{C053EAE4-A5ED-4E3B-8B7A-4F9E51E2B8F4}"/>
    <cellStyle name="60% - Accent3" xfId="30" builtinId="40" customBuiltin="1"/>
    <cellStyle name="60% - Accent3 2" xfId="155" xr:uid="{C6C36448-72CC-4F4E-ACDC-40F336BE7B42}"/>
    <cellStyle name="60% - Accent3 2 2" xfId="156" xr:uid="{EED31603-7830-4543-AEB0-6AF930970C27}"/>
    <cellStyle name="60% - Accent3 2 3" xfId="157" xr:uid="{B6D8CA22-AAF3-4B58-8EBA-80F4F5332EF0}"/>
    <cellStyle name="60% - Accent3 3" xfId="158" xr:uid="{41F5A591-2AF0-4A74-9816-72C87CAB12BD}"/>
    <cellStyle name="60% - Accent3 4" xfId="159" xr:uid="{98B8C089-4C28-4906-B788-06E6F05FB3B0}"/>
    <cellStyle name="60% - Accent3 5" xfId="160" xr:uid="{F37DE574-1621-48DA-AAC3-887DA6CAAA3B}"/>
    <cellStyle name="60% - Accent4" xfId="34" builtinId="44" customBuiltin="1"/>
    <cellStyle name="60% - Accent4 2" xfId="161" xr:uid="{D7555BB6-BFCF-4298-AC38-88E7066BF205}"/>
    <cellStyle name="60% - Accent4 2 2" xfId="162" xr:uid="{7C23C52E-F808-4012-999E-02F0776A366B}"/>
    <cellStyle name="60% - Accent4 2 3" xfId="163" xr:uid="{F4923908-F51B-480C-92F3-6C5EF45B7AA4}"/>
    <cellStyle name="60% - Accent4 3" xfId="164" xr:uid="{1A54C818-197C-4803-8FF6-E176061AF6CD}"/>
    <cellStyle name="60% - Accent4 4" xfId="165" xr:uid="{5A8938DA-FA48-4F59-9FB0-77A4279E2B91}"/>
    <cellStyle name="60% - Accent4 5" xfId="166" xr:uid="{524400C5-20D1-4F27-99F6-AB8F02F0FBAA}"/>
    <cellStyle name="60% - Accent5" xfId="38" builtinId="48" customBuiltin="1"/>
    <cellStyle name="60% - Accent5 2" xfId="167" xr:uid="{B7F1A3B6-0E40-46BB-BBB6-5CAD97A8A092}"/>
    <cellStyle name="60% - Accent5 2 2" xfId="168" xr:uid="{8D2A6052-9D52-4F3C-87BB-0BFB98A153BB}"/>
    <cellStyle name="60% - Accent5 2 3" xfId="169" xr:uid="{A3D8B060-E34A-4456-BC8E-6C18B3386A1A}"/>
    <cellStyle name="60% - Accent5 3" xfId="170" xr:uid="{5E948C9F-BEFF-4B77-AB2F-147BBF391E61}"/>
    <cellStyle name="60% - Accent5 4" xfId="171" xr:uid="{8C0D7D81-83A3-4332-B1CB-9E698A7BF0D3}"/>
    <cellStyle name="60% - Accent5 5" xfId="172" xr:uid="{6C0CDD7F-8850-4747-B307-3B8EC140EE99}"/>
    <cellStyle name="60% - Accent6" xfId="42" builtinId="52" customBuiltin="1"/>
    <cellStyle name="60% - Accent6 2" xfId="173" xr:uid="{CD6E26E1-9588-4FE1-81DB-A161704D4EA0}"/>
    <cellStyle name="60% - Accent6 2 2" xfId="174" xr:uid="{5624E952-9B50-41C6-8B04-D7FCB616CD49}"/>
    <cellStyle name="60% - Accent6 2 3" xfId="175" xr:uid="{79465C8E-273E-4F34-BD0B-C80BD3D219FB}"/>
    <cellStyle name="60% - Accent6 3" xfId="176" xr:uid="{025B954B-A268-49C0-8D6C-C93799A99898}"/>
    <cellStyle name="60% - Accent6 4" xfId="177" xr:uid="{CAB1A927-3B94-4D83-BFEF-48BFD723E884}"/>
    <cellStyle name="60% - Accent6 5" xfId="178" xr:uid="{4E6340DD-995D-4123-BFBF-A6797A6B487D}"/>
    <cellStyle name="Accent1" xfId="19" builtinId="29" customBuiltin="1"/>
    <cellStyle name="Accent1 - 20%" xfId="179" xr:uid="{121EC062-11A2-4993-9EEF-D71C7BE9FFEB}"/>
    <cellStyle name="Accent1 - 40%" xfId="180" xr:uid="{605828A9-4476-4881-960A-2CDB50A0DAC2}"/>
    <cellStyle name="Accent1 - 60%" xfId="181" xr:uid="{DB4165C9-DDA2-418B-8851-167755E9D264}"/>
    <cellStyle name="Accent1 2" xfId="182" xr:uid="{064FCB90-4AE1-41F2-A689-825F81E9FDBF}"/>
    <cellStyle name="Accent1 2 2" xfId="183" xr:uid="{18086F8A-2637-47BC-B9E6-C5D63AC2F266}"/>
    <cellStyle name="Accent1 2 3" xfId="184" xr:uid="{51DF53A0-3DDB-4A78-A5F4-31DB9E5721D2}"/>
    <cellStyle name="Accent1 3" xfId="185" xr:uid="{9B81221C-08D0-4B36-9C18-BDB81B378A56}"/>
    <cellStyle name="Accent1 4" xfId="186" xr:uid="{A0EFF08F-E0AF-4AC4-B45D-860F55E60E33}"/>
    <cellStyle name="Accent1 5" xfId="187" xr:uid="{E8565E80-1771-4B02-974F-ADE9B46364C6}"/>
    <cellStyle name="Accent2" xfId="23" builtinId="33" customBuiltin="1"/>
    <cellStyle name="Accent2 - 20%" xfId="188" xr:uid="{6FB7088B-C50A-4E88-8C32-20410C802B1A}"/>
    <cellStyle name="Accent2 - 40%" xfId="189" xr:uid="{603F9511-5FD5-43E8-8C82-2259F1CC8906}"/>
    <cellStyle name="Accent2 - 60%" xfId="190" xr:uid="{F43DBD64-0366-4C6D-BEB9-1E31FBDE56AE}"/>
    <cellStyle name="Accent2 2" xfId="191" xr:uid="{BB8A0E92-5484-4D6B-A093-9491D0E4A236}"/>
    <cellStyle name="Accent2 2 2" xfId="192" xr:uid="{01C6E239-9B2E-4475-92D2-7039131CD89B}"/>
    <cellStyle name="Accent2 2 3" xfId="193" xr:uid="{DE5E4BDC-44C3-41D9-994E-8AF8FAE1FA36}"/>
    <cellStyle name="Accent2 3" xfId="194" xr:uid="{A0F30335-47E0-461A-B8D5-31066716B880}"/>
    <cellStyle name="Accent2 4" xfId="195" xr:uid="{C7A8B389-E035-4A55-807F-3B658699C7BA}"/>
    <cellStyle name="Accent2 5" xfId="196" xr:uid="{1B93F2E4-6DC2-44FA-B008-5B6E0F0CBFEA}"/>
    <cellStyle name="Accent3" xfId="27" builtinId="37" customBuiltin="1"/>
    <cellStyle name="Accent3 - 20%" xfId="197" xr:uid="{58A59A85-446D-4E09-A147-375C4F5BECF5}"/>
    <cellStyle name="Accent3 - 40%" xfId="198" xr:uid="{17A3E7CC-BDB0-4069-B2D5-06F82851C781}"/>
    <cellStyle name="Accent3 - 60%" xfId="199" xr:uid="{3E78781C-6D75-4E58-AEF7-A2966424FD9E}"/>
    <cellStyle name="Accent3 2" xfId="200" xr:uid="{27683215-18A6-40D1-ABD3-8AA87FACBCCA}"/>
    <cellStyle name="Accent3 2 2" xfId="201" xr:uid="{EB49F371-88AE-4862-998B-FF8B87749183}"/>
    <cellStyle name="Accent3 2 3" xfId="202" xr:uid="{B71C32CB-041E-4CBB-AFC5-1EB1141B9262}"/>
    <cellStyle name="Accent3 3" xfId="203" xr:uid="{E6804D55-7AB8-40DE-BE5C-EE1778B768DD}"/>
    <cellStyle name="Accent3 4" xfId="204" xr:uid="{4CF4B9B6-5C81-4BF7-A379-039FAC086477}"/>
    <cellStyle name="Accent3 5" xfId="205" xr:uid="{4EB3B811-EBD5-4C49-9862-7ACAD7ECB919}"/>
    <cellStyle name="Accent4" xfId="31" builtinId="41" customBuiltin="1"/>
    <cellStyle name="Accent4 - 20%" xfId="206" xr:uid="{C96DABF4-1DCD-4C9C-BB5C-3C3494DA1277}"/>
    <cellStyle name="Accent4 - 40%" xfId="207" xr:uid="{A389DAE0-09F0-468D-8BEC-E20DE039C81A}"/>
    <cellStyle name="Accent4 - 60%" xfId="208" xr:uid="{D491F7CA-3004-4B87-AA3E-DD7353E5FE23}"/>
    <cellStyle name="Accent4 2" xfId="209" xr:uid="{0D4F06EC-4995-449F-A3F5-7A5F51735BC8}"/>
    <cellStyle name="Accent4 2 2" xfId="210" xr:uid="{4C836553-EDA2-4F7A-B91F-70C7A0752D8B}"/>
    <cellStyle name="Accent4 2 3" xfId="211" xr:uid="{827694A1-1D21-4CCF-926B-2A4CE71993DD}"/>
    <cellStyle name="Accent4 3" xfId="212" xr:uid="{EBF92C34-1D35-4F26-9167-01F4669D4B15}"/>
    <cellStyle name="Accent4 4" xfId="213" xr:uid="{F3A5C4BF-81F0-45A7-883E-10D7CFCA901E}"/>
    <cellStyle name="Accent4 5" xfId="214" xr:uid="{2C6B37B6-52FA-4358-8338-A1933980D680}"/>
    <cellStyle name="Accent5" xfId="35" builtinId="45" customBuiltin="1"/>
    <cellStyle name="Accent5 - 20%" xfId="215" xr:uid="{63366A23-41F0-4A76-ACEC-DB24918FE0F5}"/>
    <cellStyle name="Accent5 - 40%" xfId="216" xr:uid="{C4F71845-2AAB-40DB-93CB-EC7E7C571D36}"/>
    <cellStyle name="Accent5 - 60%" xfId="217" xr:uid="{AA001D25-500D-456D-8C0F-1A6C96237382}"/>
    <cellStyle name="Accent5 2" xfId="218" xr:uid="{FECC5CA6-137D-4A2C-9E72-3CE015282F2C}"/>
    <cellStyle name="Accent5 2 2" xfId="219" xr:uid="{7064C6A6-BDDD-4236-815C-233806F98D78}"/>
    <cellStyle name="Accent5 2 3" xfId="220" xr:uid="{63592760-7D0A-4C25-A98A-E3778DB5083F}"/>
    <cellStyle name="Accent5 3" xfId="221" xr:uid="{A754623D-3ED9-46C4-B7BF-E97824DFC062}"/>
    <cellStyle name="Accent5 4" xfId="222" xr:uid="{BC04B7F9-418A-4556-9903-0653944D94B2}"/>
    <cellStyle name="Accent5 5" xfId="223" xr:uid="{F73B1A67-0CD1-4E59-8B91-BC08BF44EF44}"/>
    <cellStyle name="Accent6" xfId="39" builtinId="49" customBuiltin="1"/>
    <cellStyle name="Accent6 - 20%" xfId="224" xr:uid="{B59932B6-B3EC-4823-9D3A-FE4EFE3AA7BC}"/>
    <cellStyle name="Accent6 - 40%" xfId="225" xr:uid="{19911EE0-1E3A-4FD2-BB4B-D2D883831F6C}"/>
    <cellStyle name="Accent6 - 60%" xfId="226" xr:uid="{CE912FDB-1337-413C-929E-E680CF99C135}"/>
    <cellStyle name="Accent6 2" xfId="227" xr:uid="{CD532D16-FC31-4D16-9CD6-31C03910626A}"/>
    <cellStyle name="Accent6 2 2" xfId="228" xr:uid="{B5CE26A3-966A-4EC2-BB30-4CA160CADE20}"/>
    <cellStyle name="Accent6 2 3" xfId="229" xr:uid="{E9532AA0-D837-4707-9C06-593B251B5265}"/>
    <cellStyle name="Accent6 3" xfId="230" xr:uid="{3F46A58D-5B32-46E4-B4DC-2BE9F60A2F11}"/>
    <cellStyle name="Accent6 4" xfId="231" xr:uid="{46D040EB-35A7-4854-BDED-55C6FCB4D679}"/>
    <cellStyle name="Accent6 5" xfId="232" xr:uid="{3730F17A-FED2-4C34-9663-C2906E195BDC}"/>
    <cellStyle name="Adjustable" xfId="233" xr:uid="{5FDC3383-97B5-4453-89CC-748653379658}"/>
    <cellStyle name="Adjustable 2" xfId="234" xr:uid="{E815126F-4BF9-418D-B900-8C22BEB11735}"/>
    <cellStyle name="ÅëÈ­ [0]_±âÅ¸" xfId="235" xr:uid="{4D58F34D-567B-417C-A126-0C75AC0A2AAE}"/>
    <cellStyle name="ÅëÈ­_±âÅ¸" xfId="236" xr:uid="{6468E666-6311-4FB8-95AB-923DF5F940C6}"/>
    <cellStyle name="ÄÞ¸¶ [0]_±âÅ¸" xfId="237" xr:uid="{69A5B512-1222-4656-BF7E-4A927E3371C6}"/>
    <cellStyle name="ÄÞ¸¶_±âÅ¸" xfId="238" xr:uid="{40CF2B95-83FD-4B03-B4CC-D78DDCEBB9D1}"/>
    <cellStyle name="Bad" xfId="8" builtinId="27" customBuiltin="1"/>
    <cellStyle name="Bad 2" xfId="239" xr:uid="{F326BEFF-AD64-4017-970A-EF206009CF10}"/>
    <cellStyle name="Bad 2 2" xfId="240" xr:uid="{9DF030A7-139E-4D6C-B202-E6B06EF82CC0}"/>
    <cellStyle name="Bad 2 3" xfId="241" xr:uid="{0B76AEE5-BD71-4D24-9D3F-A462E97F09C0}"/>
    <cellStyle name="Bad 3" xfId="242" xr:uid="{D0A47A45-A2C0-4484-B979-8CFA0DF2041F}"/>
    <cellStyle name="Bad 4" xfId="243" xr:uid="{ECC53E5C-786B-456B-94A8-7AB00C8BF91C}"/>
    <cellStyle name="Bad 5" xfId="244" xr:uid="{48547EDA-6057-4094-8B09-F4A359A552C4}"/>
    <cellStyle name="Best" xfId="245" xr:uid="{1DC29B2E-9E87-4EB8-8146-0BED22F9E350}"/>
    <cellStyle name="Best 2" xfId="246" xr:uid="{39DF4308-2A1B-4D21-AF4F-6FA27FD54B45}"/>
    <cellStyle name="BORDERS" xfId="247" xr:uid="{669593A7-5575-4417-AADC-BAAB6B79FEAC}"/>
    <cellStyle name="Ç¥ÁØ_¿ù°£¿ä¾àº¸°í" xfId="248" xr:uid="{0C2490A4-D4B4-471A-B036-A0DC8F58757D}"/>
    <cellStyle name="Calc Currency (0)" xfId="249" xr:uid="{26FD607E-8045-46AC-A348-B350FECC7007}"/>
    <cellStyle name="Calc Currency (0) 2" xfId="250" xr:uid="{CDEBEB55-AA66-4CC5-A0EC-4C05F7CB6D45}"/>
    <cellStyle name="Calc Currency (0) 3" xfId="251" xr:uid="{FEB13865-4BDE-4A3D-A0D1-BA978E681CF8}"/>
    <cellStyle name="Calc Currency (0) 4" xfId="252" xr:uid="{AADDE4A4-C9BB-4C97-BE91-65A3F4D10179}"/>
    <cellStyle name="Calculation" xfId="12" builtinId="22" customBuiltin="1"/>
    <cellStyle name="Calculation 2" xfId="253" xr:uid="{1A293B1F-56A7-49A3-9834-120A3270B313}"/>
    <cellStyle name="Calculation 2 2" xfId="254" xr:uid="{04E00CA4-5F80-4BB1-B056-E67B686362FD}"/>
    <cellStyle name="Calculation 2 3" xfId="255" xr:uid="{4DEA09FB-FD36-4AA9-AA90-1977BFDB0DA9}"/>
    <cellStyle name="Calculation 3" xfId="256" xr:uid="{FEF7DAEF-61E8-4E82-8D0F-796EEAA93960}"/>
    <cellStyle name="Calculation 4" xfId="257" xr:uid="{E31BCB63-4F55-4B80-833F-24BD511EE344}"/>
    <cellStyle name="Calculation 5" xfId="258" xr:uid="{DBE974FC-685B-4FA1-B005-369E2290994E}"/>
    <cellStyle name="Check Cell" xfId="14" builtinId="23" customBuiltin="1"/>
    <cellStyle name="Check Cell 2" xfId="259" xr:uid="{8EF19BB4-060D-4076-A52D-FA5EC2604B37}"/>
    <cellStyle name="Check Cell 2 2" xfId="260" xr:uid="{E700723E-6FD3-4337-BAA1-44C7835D78A0}"/>
    <cellStyle name="Check Cell 2 3" xfId="261" xr:uid="{92F8FD21-E085-4A38-8E5D-DFA25655649F}"/>
    <cellStyle name="Check Cell 3" xfId="262" xr:uid="{D257F7F7-AC03-4359-A73D-628619DD6F39}"/>
    <cellStyle name="Check Cell 4" xfId="263" xr:uid="{2796150B-C2FD-456C-BA1A-0ED8D51F24D1}"/>
    <cellStyle name="Check Cell 5" xfId="264" xr:uid="{DE3B1A02-101E-459E-8DAC-0118F78C034E}"/>
    <cellStyle name="ÇÏÀÌÆÛ¸µÅ©" xfId="265" xr:uid="{09073AFF-CB09-440E-BD62-09A93D8052BE}"/>
    <cellStyle name="Comma  - Style1" xfId="266" xr:uid="{F4D9EC3D-22CD-4A27-A9B7-256CC6E39F2C}"/>
    <cellStyle name="Comma  - Style2" xfId="267" xr:uid="{ECF449BB-C9FE-4FA2-9B31-81BD67D9E033}"/>
    <cellStyle name="Comma  - Style3" xfId="268" xr:uid="{2B04D6B1-59CF-47ED-A84F-840C8366960F}"/>
    <cellStyle name="Comma  - Style4" xfId="269" xr:uid="{95549A1C-CBAE-4C9C-809C-FAE24D2C27A1}"/>
    <cellStyle name="Comma  - Style5" xfId="270" xr:uid="{252F969C-891B-4427-AE3C-139E88DF55AD}"/>
    <cellStyle name="Comma  - Style6" xfId="271" xr:uid="{70E6916A-64BD-48CA-8B8D-6732698C9ED9}"/>
    <cellStyle name="Comma  - Style7" xfId="272" xr:uid="{EA8F8BE8-1494-4FC3-A7D8-C79BBBFB225A}"/>
    <cellStyle name="Comma  - Style8" xfId="273" xr:uid="{4FD27285-CC6E-4B04-90AE-C73D8FE48680}"/>
    <cellStyle name="Comma 10" xfId="274" xr:uid="{936526D8-018F-428F-BC52-19BF0A0A676C}"/>
    <cellStyle name="Comma 10 10" xfId="275" xr:uid="{733CE019-C368-4999-869E-5F12D876C59C}"/>
    <cellStyle name="Comma 10 2" xfId="276" xr:uid="{C5ED1641-550C-40CD-8E60-F0B58E3DDC2A}"/>
    <cellStyle name="Comma 10 2 2" xfId="277" xr:uid="{46BF78F5-D660-4338-A9A3-FD3DCC5A62DC}"/>
    <cellStyle name="Comma 10 2 2 2" xfId="278" xr:uid="{781F7989-17E9-4E8D-833C-80CF26BAF05C}"/>
    <cellStyle name="Comma 10 2 3" xfId="279" xr:uid="{3FA4A08E-6434-49A4-BEC2-A3118DF99EAB}"/>
    <cellStyle name="Comma 10 3" xfId="280" xr:uid="{14449AE9-46D8-490E-A062-D4D61A4C502B}"/>
    <cellStyle name="Comma 10_CRU PROC" xfId="281" xr:uid="{5C018B15-9BE1-4939-B18E-84783ED9D009}"/>
    <cellStyle name="Comma 11" xfId="282" xr:uid="{99E6CC84-661A-402A-A7FA-CFFE67917A2B}"/>
    <cellStyle name="Comma 11 2" xfId="283" xr:uid="{622996F3-CFC7-4DC3-9D7F-4E24445F2CAC}"/>
    <cellStyle name="Comma 12" xfId="284" xr:uid="{5191099D-75A3-47B8-B757-3FA550D0E91F}"/>
    <cellStyle name="Comma 12 2" xfId="285" xr:uid="{D6517D9D-BCB5-4BA7-BAD1-0E148B569034}"/>
    <cellStyle name="Comma 12 2 2" xfId="286" xr:uid="{195A2A89-3290-4796-8683-8B6E9C76B798}"/>
    <cellStyle name="Comma 12 2 3" xfId="287" xr:uid="{C01A9F03-5F95-4CA2-A848-B24C3A692925}"/>
    <cellStyle name="Comma 12 3" xfId="288" xr:uid="{B0CAF91B-7FFE-48C1-AD16-0CD7011A35CE}"/>
    <cellStyle name="Comma 13" xfId="289" xr:uid="{DA6C6472-5D9E-4F9C-84DB-726CFD9FA4FC}"/>
    <cellStyle name="Comma 14" xfId="290" xr:uid="{0E63FE53-78BD-4AD6-9DFD-57DCFE4B7C01}"/>
    <cellStyle name="Comma 14 2" xfId="791" xr:uid="{E8ADCE01-7CD5-4BFA-BB8B-7DF04F42A02E}"/>
    <cellStyle name="Comma 15" xfId="291" xr:uid="{A0FD7008-226B-4A1D-8EA2-1D5C9628C6AD}"/>
    <cellStyle name="Comma 15 2" xfId="792" xr:uid="{BA84AB1A-5AD1-420A-A0A3-DDD24263C710}"/>
    <cellStyle name="Comma 16" xfId="292" xr:uid="{1E2BFF39-B568-4DF5-9F8D-C91B4CF6FCA5}"/>
    <cellStyle name="Comma 16 2" xfId="793" xr:uid="{3B434017-C675-4BD1-9C10-36F987103BEF}"/>
    <cellStyle name="Comma 17" xfId="293" xr:uid="{A70767BE-8577-4590-A0D7-0832F35484A4}"/>
    <cellStyle name="Comma 17 2" xfId="794" xr:uid="{13FCB8BD-6CE5-4BC2-9098-A86C22E8DAEE}"/>
    <cellStyle name="Comma 18" xfId="294" xr:uid="{A5466253-E1C8-446D-AD51-C40798F5030C}"/>
    <cellStyle name="Comma 18 2" xfId="295" xr:uid="{8DCBA5A6-B196-4333-941D-3FC2DBF3A1F0}"/>
    <cellStyle name="Comma 19" xfId="296" xr:uid="{C394967A-E481-4108-BEE8-BB4F2935B0A6}"/>
    <cellStyle name="Comma 19 2" xfId="297" xr:uid="{2ACEDC88-3732-49C9-9D33-639552AC8FC6}"/>
    <cellStyle name="Comma 2" xfId="298" xr:uid="{C2FC5FA4-B1A1-4F2E-8862-13586A88A58F}"/>
    <cellStyle name="Comma 2 2" xfId="299" xr:uid="{8A94186D-F212-42D0-8581-FE03748F04A7}"/>
    <cellStyle name="Comma 2 3" xfId="300" xr:uid="{661AF6B4-049B-4926-8996-DC62C89B4880}"/>
    <cellStyle name="Comma 2 3 2" xfId="301" xr:uid="{BD992EDE-1D64-4058-B23F-56210731A746}"/>
    <cellStyle name="Comma 2 38" xfId="302" xr:uid="{48337F8A-A89A-4B5C-A406-A14AAC9E9DB9}"/>
    <cellStyle name="Comma 2 4" xfId="303" xr:uid="{DB2716C0-F48D-4F74-BED4-55A32C25597E}"/>
    <cellStyle name="Comma 2 4 2" xfId="304" xr:uid="{B053AC5C-BC2E-4A5B-80DE-C7E081D25B44}"/>
    <cellStyle name="Comma 2 4 2 2" xfId="305" xr:uid="{2E990DC0-AE9F-4A2A-B173-CF296192BA86}"/>
    <cellStyle name="Comma 2 4 3" xfId="306" xr:uid="{5304CFA4-3DD4-4FD7-AD7A-438BB9DC2A15}"/>
    <cellStyle name="Comma 2 5" xfId="307" xr:uid="{5FCD2E42-BB22-4BB2-8E99-C90D552E40E1}"/>
    <cellStyle name="Comma 2 6" xfId="308" xr:uid="{C991B046-8E87-4414-AA48-974549887EB2}"/>
    <cellStyle name="Comma 20" xfId="309" xr:uid="{B0A10778-9FB3-4C63-80E0-42D86B177F21}"/>
    <cellStyle name="Comma 20 2" xfId="310" xr:uid="{542A554B-0650-4DC8-A248-2D60B5FB5D6B}"/>
    <cellStyle name="Comma 21" xfId="311" xr:uid="{8EA098A0-AE75-40A9-9461-509DA74F694D}"/>
    <cellStyle name="Comma 21 2" xfId="312" xr:uid="{38FA7902-CA5A-4327-82F2-DF6177BEEE07}"/>
    <cellStyle name="Comma 22" xfId="313" xr:uid="{F8F3453D-E9D0-4E9D-8548-D166AF776A91}"/>
    <cellStyle name="Comma 22 2" xfId="314" xr:uid="{373698B9-5DD6-4F89-8E79-541E0C4D8325}"/>
    <cellStyle name="Comma 23" xfId="315" xr:uid="{BF8325C4-6D3C-4A6F-B8B8-5CA302FDD73F}"/>
    <cellStyle name="Comma 24" xfId="316" xr:uid="{F4AFD516-3514-47E1-8C24-C711605A1962}"/>
    <cellStyle name="Comma 25" xfId="317" xr:uid="{92008FDB-ADB9-4BC7-8068-6E3806694737}"/>
    <cellStyle name="Comma 26" xfId="318" xr:uid="{99D51301-6A48-41E2-AF03-1591D3A8CC28}"/>
    <cellStyle name="Comma 27" xfId="319" xr:uid="{DAF38E92-7200-4630-A6E6-58A40833D3B9}"/>
    <cellStyle name="Comma 28" xfId="320" xr:uid="{BF1AC545-75ED-471B-8BDE-465D7535AF7D}"/>
    <cellStyle name="Comma 29" xfId="321" xr:uid="{E3EA7961-5128-4BB1-AEB4-456DD36BC85E}"/>
    <cellStyle name="Comma 3" xfId="322" xr:uid="{7160DC38-6FAC-4ABA-A260-1F9C9E64D8A2}"/>
    <cellStyle name="Comma 3 2" xfId="323" xr:uid="{5E6E778F-2ABC-4A08-9337-4820D8F91F3D}"/>
    <cellStyle name="Comma 3 2 2" xfId="324" xr:uid="{BCAFC203-F198-4A28-9DDF-E07140F0C464}"/>
    <cellStyle name="Comma 3 2 2 2" xfId="796" xr:uid="{B2CDA780-1EA9-40F4-A90A-1C599CE2442F}"/>
    <cellStyle name="Comma 3 2 3" xfId="795" xr:uid="{A53EF203-DB95-4406-BBEF-5E66A8BBEE60}"/>
    <cellStyle name="Comma 3 3" xfId="325" xr:uid="{00AB7633-A929-4AB0-B39B-47E538CF830A}"/>
    <cellStyle name="Comma 3 4" xfId="326" xr:uid="{3B100482-7254-476C-9FBD-C6CEF19B48E3}"/>
    <cellStyle name="Comma 30" xfId="327" xr:uid="{F51E48D3-BB2E-4A57-9DC9-7CEB904C1AD6}"/>
    <cellStyle name="Comma 31" xfId="328" xr:uid="{E3BDC221-9852-4FB3-B6BB-EA6D44B1BFDD}"/>
    <cellStyle name="Comma 32" xfId="329" xr:uid="{E65C744E-1FEF-4548-8431-BF5AD8F42CF5}"/>
    <cellStyle name="Comma 33" xfId="330" xr:uid="{5F6B8A9E-2CB2-46D9-8524-FF5852A8C2E2}"/>
    <cellStyle name="Comma 34" xfId="331" xr:uid="{556D5F67-A026-456D-B682-F8BB5AE1977E}"/>
    <cellStyle name="Comma 4" xfId="332" xr:uid="{E33B14DB-921F-424A-9951-7FA4D4F26896}"/>
    <cellStyle name="Comma 4 2" xfId="333" xr:uid="{697ADB71-3D2C-4974-99F6-AC936D751F50}"/>
    <cellStyle name="Comma 4 3" xfId="334" xr:uid="{615E827C-CD7C-4103-A9E0-850B4BEC6BDD}"/>
    <cellStyle name="Comma 5" xfId="335" xr:uid="{3E17268F-7AD5-4C5E-9F02-2CD27D1CF7C0}"/>
    <cellStyle name="Comma 5 2" xfId="336" xr:uid="{F3D8A7AA-B044-4185-8FC5-FDE0513B829A}"/>
    <cellStyle name="Comma 6" xfId="337" xr:uid="{94F705C4-6DA0-4E86-ABE3-7FD027D0F6C1}"/>
    <cellStyle name="Comma 6 2" xfId="338" xr:uid="{C88DBEBC-B66B-4A16-98FA-9CEC00DF39FB}"/>
    <cellStyle name="Comma 6 2 2" xfId="798" xr:uid="{9AACE42E-7A26-4000-BC94-19B6BAE64699}"/>
    <cellStyle name="Comma 6 3" xfId="339" xr:uid="{5835827D-23CB-4034-BC3D-08FEFD5227E3}"/>
    <cellStyle name="Comma 6 4" xfId="797" xr:uid="{48C6DBDB-9D9F-42A5-96FD-CAB6DE609E3E}"/>
    <cellStyle name="Comma 6_CRU PROC" xfId="340" xr:uid="{EBA6C1D6-48D7-4023-906E-8ABE28482E1A}"/>
    <cellStyle name="Comma 7" xfId="341" xr:uid="{296622D4-0A54-4FF5-A9B2-1BFFC53CD56F}"/>
    <cellStyle name="Comma 7 2" xfId="342" xr:uid="{101299D4-805F-4AC2-A15F-62C69424861E}"/>
    <cellStyle name="Comma 7 2 2" xfId="800" xr:uid="{D1838347-7C91-4282-BC50-6C2DA1FC536F}"/>
    <cellStyle name="Comma 7 3" xfId="343" xr:uid="{2C5DE657-40DB-4B64-8D78-78858BEAB45D}"/>
    <cellStyle name="Comma 7 4" xfId="799" xr:uid="{BC9569B7-6DE5-4F75-9451-B99A94387395}"/>
    <cellStyle name="Comma 7_CRU PROC" xfId="344" xr:uid="{C8BAC45A-D8DD-4245-8869-1A7F420E60C7}"/>
    <cellStyle name="Comma 8" xfId="345" xr:uid="{34931845-CD3D-4CC5-98EE-CE71FD041D6E}"/>
    <cellStyle name="Comma 8 2" xfId="346" xr:uid="{133CF0C4-6891-41E8-899B-37F2E885FE20}"/>
    <cellStyle name="Comma 8 3" xfId="347" xr:uid="{E572AF9D-6AE1-4F68-8907-D91B16D206A8}"/>
    <cellStyle name="Comma 8_CRU PROC" xfId="348" xr:uid="{E6229088-F6D6-42FD-835C-98C11D98E8D6}"/>
    <cellStyle name="Comma 9" xfId="349" xr:uid="{A5975C06-9D3C-462F-8E7B-CA50260A0684}"/>
    <cellStyle name="Comma 9 2" xfId="350" xr:uid="{6FCAEAA5-C50D-4F2D-9630-DFC3429F3C0D}"/>
    <cellStyle name="Comma 9 3" xfId="351" xr:uid="{B3775997-E5CF-47CD-AECE-80F3D81A1D7D}"/>
    <cellStyle name="Comma 9_CRU PROC" xfId="352" xr:uid="{E483CD19-EC16-4CBE-B8C6-374C3616F8D0}"/>
    <cellStyle name="Comma0" xfId="353" xr:uid="{9D1A0C12-8A85-463B-8EB8-5F022AF9D004}"/>
    <cellStyle name="Comma0 2" xfId="354" xr:uid="{BF388910-4955-4B1F-AA34-A40A5B29251C}"/>
    <cellStyle name="Copied" xfId="355" xr:uid="{231E04EE-355F-4951-ADD3-9FDC0C6AB638}"/>
    <cellStyle name="Currency0" xfId="356" xr:uid="{840BA635-C57D-4DA3-A2BD-914293F48F56}"/>
    <cellStyle name="Currency0 2" xfId="357" xr:uid="{CC16E641-9CC5-4E32-8216-21E73BC8F149}"/>
    <cellStyle name="Date" xfId="358" xr:uid="{0EF88F18-1944-401C-BC25-399D34453683}"/>
    <cellStyle name="Date 2" xfId="359" xr:uid="{44A555CE-87B6-4691-B56E-C22F34BC9DAD}"/>
    <cellStyle name="Emphasis 1 2" xfId="360" xr:uid="{54F349C3-C300-4290-B4D5-348359595977}"/>
    <cellStyle name="Emphasis 2 2" xfId="361" xr:uid="{09359803-A3F0-404D-B4A5-1DE6B8262040}"/>
    <cellStyle name="Emphasis 3 2" xfId="362" xr:uid="{B304E33E-26FF-4CA7-8D95-6DED389B7C34}"/>
    <cellStyle name="Entered" xfId="363" xr:uid="{583545AB-9926-4C55-ADDC-51C3C4AAC72A}"/>
    <cellStyle name="Explanatory Text" xfId="17" builtinId="53" customBuiltin="1"/>
    <cellStyle name="Explanatory Text 2" xfId="364" xr:uid="{8A943FE7-ABDF-4DAA-843E-3F79CA2FD483}"/>
    <cellStyle name="Explanatory Text 2 2" xfId="365" xr:uid="{7A84E05E-DFFF-40AA-8E3C-CC6FBE8BF837}"/>
    <cellStyle name="Explanatory Text 2 3" xfId="366" xr:uid="{5F1C5035-C3E4-4DE5-85B9-1797D8832914}"/>
    <cellStyle name="Explanatory Text 3" xfId="367" xr:uid="{EDCD4B5D-D03D-42ED-8294-D9696203506B}"/>
    <cellStyle name="Explanatory Text 4" xfId="368" xr:uid="{2BD12439-5901-44D8-8438-FB7599681455}"/>
    <cellStyle name="Explanatory Text 5" xfId="369" xr:uid="{ECADAB31-4478-4500-8ECD-1EC09C7F102D}"/>
    <cellStyle name="FIGURES" xfId="370" xr:uid="{9F5C1F91-0404-4FBB-9AE5-C1547377E517}"/>
    <cellStyle name="Fixed" xfId="371" xr:uid="{45A683B3-A5B4-486D-A529-FBFE3B1E675A}"/>
    <cellStyle name="Fixed 2" xfId="372" xr:uid="{95F42001-3894-48D3-9D2A-D8B32B07B8D9}"/>
    <cellStyle name="Good" xfId="7" builtinId="26" customBuiltin="1"/>
    <cellStyle name="Good 2" xfId="373" xr:uid="{CE17495D-526B-46BC-8EC1-E4AFE487A677}"/>
    <cellStyle name="Good 2 2" xfId="374" xr:uid="{1919BBE8-3EBE-4B35-A6B2-CAFEB090BDF7}"/>
    <cellStyle name="Good 2 3" xfId="375" xr:uid="{F875E495-8AFB-4FA8-9343-AC231031D2DF}"/>
    <cellStyle name="Good 3" xfId="376" xr:uid="{ADAEBFC7-7FA2-4403-8CF4-20F05568955B}"/>
    <cellStyle name="Good 4" xfId="377" xr:uid="{5F80AF2A-16D8-4B2A-AE94-AB816D9F783C}"/>
    <cellStyle name="Good 5" xfId="378" xr:uid="{57C98FD7-FFD3-44D4-AF28-799A58F1498D}"/>
    <cellStyle name="Grey" xfId="379" xr:uid="{B6E4FD14-5AFC-4FDC-BE4C-3FB6EF3E80C3}"/>
    <cellStyle name="Grey 2" xfId="380" xr:uid="{7CB519AB-294A-44E6-AC6B-E669FBE7C573}"/>
    <cellStyle name="Header1" xfId="381" xr:uid="{EB3361FA-E900-4EDF-AB2B-DEE0D44068B6}"/>
    <cellStyle name="Header2" xfId="382" xr:uid="{1B1F7058-37EC-4704-90F2-70347D5A469D}"/>
    <cellStyle name="Heading 1" xfId="3" builtinId="16" customBuiltin="1"/>
    <cellStyle name="Heading 1 2" xfId="383" xr:uid="{6C401411-1EFD-4A1F-99EA-72B739A4DEA0}"/>
    <cellStyle name="Heading 1 2 2" xfId="384" xr:uid="{674C5E73-2A9C-4E05-8BD1-1BC3D127A9DC}"/>
    <cellStyle name="Heading 1 2 3" xfId="385" xr:uid="{9EF91DF4-71A5-45EF-9A63-8547FC8C9A15}"/>
    <cellStyle name="Heading 1 2 4" xfId="386" xr:uid="{DDA76DAC-A472-4470-A503-B0C50BBD452A}"/>
    <cellStyle name="Heading 1 3" xfId="387" xr:uid="{07013893-C765-464F-BC1A-6824D4239B6B}"/>
    <cellStyle name="Heading 1 3 2" xfId="388" xr:uid="{74676C7C-4B50-4632-AA34-2561C0074789}"/>
    <cellStyle name="Heading 1 4" xfId="389" xr:uid="{C0FCE8AC-EEF6-4063-9E8D-09AEC518D2E5}"/>
    <cellStyle name="Heading 1 4 2" xfId="390" xr:uid="{ECDDDE5F-C3CC-49F6-878F-715259550410}"/>
    <cellStyle name="Heading 1 5" xfId="391" xr:uid="{34821F39-8B68-4EE5-B5D6-189D8BB718DE}"/>
    <cellStyle name="Heading 1 5 2" xfId="392" xr:uid="{49E127B8-5385-4E86-B7C4-65AF4C242D22}"/>
    <cellStyle name="Heading 2" xfId="4" builtinId="17" customBuiltin="1"/>
    <cellStyle name="Heading 2 2" xfId="393" xr:uid="{666B9FCE-4F21-4F96-918A-DDB6A141A292}"/>
    <cellStyle name="Heading 2 2 2" xfId="394" xr:uid="{23EBF1D5-0E93-422A-BC44-A839E1190858}"/>
    <cellStyle name="Heading 2 2 3" xfId="395" xr:uid="{0B2A341E-2ABB-4983-B9E1-71AA5B2E5872}"/>
    <cellStyle name="Heading 2 2 4" xfId="396" xr:uid="{C281D6B4-1C82-4941-937B-531DFA977BF4}"/>
    <cellStyle name="Heading 2 3" xfId="397" xr:uid="{852E4DF9-D4E3-4DDF-A879-4D5E1808BAB8}"/>
    <cellStyle name="Heading 2 3 2" xfId="398" xr:uid="{572FEAB7-3479-4528-8369-D38E78007C5D}"/>
    <cellStyle name="Heading 2 4" xfId="399" xr:uid="{3999E4FA-FF3A-480C-A94C-6551D5332409}"/>
    <cellStyle name="Heading 2 4 2" xfId="400" xr:uid="{B7175116-3412-4430-ABF6-24E1D2C8231F}"/>
    <cellStyle name="Heading 2 5" xfId="401" xr:uid="{60B1544E-E669-404E-A642-B7043BD839FC}"/>
    <cellStyle name="Heading 2 5 2" xfId="402" xr:uid="{D35A60C3-43CA-4719-9318-DE196C29F1E1}"/>
    <cellStyle name="Heading 3" xfId="5" builtinId="18" customBuiltin="1"/>
    <cellStyle name="Heading 3 2" xfId="403" xr:uid="{3EE30FB6-6CB7-4F11-B80A-F2506EB9C615}"/>
    <cellStyle name="Heading 3 2 2" xfId="404" xr:uid="{68A841BC-B46C-4942-8F9F-2341E9AD23BA}"/>
    <cellStyle name="Heading 3 2 3" xfId="405" xr:uid="{7CE5398F-2ECD-4AF3-80A2-399B17625E38}"/>
    <cellStyle name="Heading 3 3" xfId="406" xr:uid="{9B40F394-3CFF-433F-9C16-82DEDA9279CF}"/>
    <cellStyle name="Heading 3 4" xfId="407" xr:uid="{CB457591-6CB9-437D-BEB4-5D478B4FD022}"/>
    <cellStyle name="Heading 3 5" xfId="408" xr:uid="{78234912-D012-4199-833E-4482ABD57FC1}"/>
    <cellStyle name="Heading 4" xfId="6" builtinId="19" customBuiltin="1"/>
    <cellStyle name="Heading 4 2" xfId="409" xr:uid="{B0E8A098-F117-4030-84CA-E1EBF9DD64EB}"/>
    <cellStyle name="Heading 4 2 2" xfId="410" xr:uid="{26798227-2E52-48B6-A0A1-84DE5E135538}"/>
    <cellStyle name="Heading 4 2 3" xfId="411" xr:uid="{FB84EFB2-73CB-4CCC-958C-5E14F384944A}"/>
    <cellStyle name="Heading 4 3" xfId="412" xr:uid="{84B75B6B-E44D-4D15-B348-245F66EF5B4D}"/>
    <cellStyle name="Heading 4 4" xfId="413" xr:uid="{6BCA65F5-1528-491D-9F34-6EB76DCE6F80}"/>
    <cellStyle name="Heading 4 5" xfId="414" xr:uid="{1C81F988-AAFB-405B-A6FC-011E38736AA3}"/>
    <cellStyle name="Hyperlink 2" xfId="415" xr:uid="{477DDC79-94AB-4644-BB94-5E445D08F31E}"/>
    <cellStyle name="Hyperlink 3" xfId="416" xr:uid="{E4F65A34-E95E-4DE8-82B9-C104035C6996}"/>
    <cellStyle name="Hyperlink 4" xfId="417" xr:uid="{8CCE6677-3E4E-4F3A-A933-F63CA82368E6}"/>
    <cellStyle name="Input" xfId="10" builtinId="20" customBuiltin="1"/>
    <cellStyle name="Input [yellow]" xfId="418" xr:uid="{96E836E0-3CED-404A-BE77-32DC6B1A9505}"/>
    <cellStyle name="Input [yellow] 2" xfId="419" xr:uid="{EEB5643D-35B1-4FA6-A114-F5D1CA955A89}"/>
    <cellStyle name="Input 10" xfId="420" xr:uid="{76D6F83E-4A0B-491B-B9FB-7AD5ACB0ECE0}"/>
    <cellStyle name="Input 11" xfId="421" xr:uid="{C8638290-3C1B-4BCF-A744-A148ACAFE2AF}"/>
    <cellStyle name="Input 12" xfId="422" xr:uid="{E54DC7D5-D2FC-45FF-BD2D-B30CF0A288CE}"/>
    <cellStyle name="Input 13" xfId="423" xr:uid="{DB5F1E9A-DC58-4A4B-8E14-7AD6516C9510}"/>
    <cellStyle name="Input 14" xfId="424" xr:uid="{19102674-0478-4D22-B118-602E2BED7598}"/>
    <cellStyle name="Input 15" xfId="425" xr:uid="{4E289750-F8FF-4E65-A57A-C93D38D4226D}"/>
    <cellStyle name="Input 16" xfId="426" xr:uid="{13AA3940-19F6-4248-990F-157B3DB4B881}"/>
    <cellStyle name="Input 17" xfId="427" xr:uid="{A781EAB4-3F62-49C5-B889-D20FB7B68D1E}"/>
    <cellStyle name="Input 18" xfId="428" xr:uid="{B09F806A-A5E7-41E3-B529-940672D599D5}"/>
    <cellStyle name="Input 19" xfId="429" xr:uid="{7F9F315D-A5EC-43C9-A655-0EA5EF8B37B0}"/>
    <cellStyle name="Input 2" xfId="430" xr:uid="{C321C6BE-79E7-4E46-9439-F8DB51CFA207}"/>
    <cellStyle name="Input 2 2" xfId="431" xr:uid="{252E3516-03C0-4667-8A91-D2648F8A0D3C}"/>
    <cellStyle name="Input 2 3" xfId="432" xr:uid="{6FB63BD1-C411-41DF-89CB-A09500E9BEA0}"/>
    <cellStyle name="Input 20" xfId="433" xr:uid="{2BA76741-974E-45C5-8D62-41D17310EFD4}"/>
    <cellStyle name="Input 21" xfId="434" xr:uid="{D9EF3938-51C5-43ED-B4C6-7C72DF4C5366}"/>
    <cellStyle name="Input 3" xfId="435" xr:uid="{65C85E31-7833-4BC2-9F43-422F59EB953A}"/>
    <cellStyle name="Input 3 2" xfId="436" xr:uid="{F78AF2A0-3140-4231-90E1-AC321099A15E}"/>
    <cellStyle name="Input 4" xfId="437" xr:uid="{1237A614-69E6-4ED4-B29C-5C34EF4A12A7}"/>
    <cellStyle name="Input 4 2" xfId="438" xr:uid="{04DEAB5C-4370-4076-A28F-1554311FAC80}"/>
    <cellStyle name="Input 5" xfId="439" xr:uid="{5CE56877-5DCA-4FD4-8BC6-6C948943D8B8}"/>
    <cellStyle name="Input 6" xfId="440" xr:uid="{E1C1D446-7D3A-41AC-B6E4-FB367D08074C}"/>
    <cellStyle name="Input 7" xfId="441" xr:uid="{DD191D1D-FC61-41BF-A564-C815688F3680}"/>
    <cellStyle name="Input 8" xfId="442" xr:uid="{98C42BF6-3731-4B0E-B247-C621C6EF3555}"/>
    <cellStyle name="Input 9" xfId="443" xr:uid="{61F38DD9-214D-4793-AA43-60CCB667AFC2}"/>
    <cellStyle name="ITEMS" xfId="444" xr:uid="{6AE2F43B-8C9D-4755-B96F-CBAE98BAC616}"/>
    <cellStyle name="Linked Cell" xfId="13" builtinId="24" customBuiltin="1"/>
    <cellStyle name="Linked Cell 2" xfId="445" xr:uid="{17F4E8E2-A6BB-4897-B6D1-7088C0C75047}"/>
    <cellStyle name="Linked Cell 2 2" xfId="446" xr:uid="{88014CFB-3873-4E31-8EA5-4004F282947D}"/>
    <cellStyle name="Linked Cell 2 3" xfId="447" xr:uid="{E906A545-A1B6-4482-B844-652D43B6680F}"/>
    <cellStyle name="Linked Cell 3" xfId="448" xr:uid="{F43ADEE5-6378-44B5-AAA6-9C5D5EC26147}"/>
    <cellStyle name="Linked Cell 4" xfId="449" xr:uid="{7662B910-7BC9-40DD-8290-1A103A0B5ADB}"/>
    <cellStyle name="Linked Cell 5" xfId="450" xr:uid="{F90DFC90-6B7E-48C0-9C85-598B11FFEA9A}"/>
    <cellStyle name="m1 - Style1" xfId="451" xr:uid="{92446602-149D-4C1D-96E1-0C3E47489E8C}"/>
    <cellStyle name="MANKAD" xfId="452" xr:uid="{F2A0AA46-9691-4866-B5E6-88D9046ABA5E}"/>
    <cellStyle name="METRO" xfId="453" xr:uid="{2D87371F-D583-425A-AD37-79B093E4F289}"/>
    <cellStyle name="Neutral" xfId="9" builtinId="28" customBuiltin="1"/>
    <cellStyle name="Neutral 2" xfId="454" xr:uid="{BEE2A2E1-94AF-4399-ABB0-62D56081144C}"/>
    <cellStyle name="Neutral 2 2" xfId="455" xr:uid="{AE478252-A7DC-4E28-BFC3-B31B59A26F21}"/>
    <cellStyle name="Neutral 2 3" xfId="456" xr:uid="{CE435109-92CC-4FE2-B57F-138864CBCADC}"/>
    <cellStyle name="Neutral 3" xfId="457" xr:uid="{8A23CF2A-4F20-48EE-9FB6-4A8CFD63510E}"/>
    <cellStyle name="Neutral 4" xfId="458" xr:uid="{48103AF4-DB79-4836-AA9A-AFAD087BB5FA}"/>
    <cellStyle name="Neutral 5" xfId="459" xr:uid="{AF628945-ECA9-4C89-B009-C49E7F9C417C}"/>
    <cellStyle name="no dec" xfId="460" xr:uid="{35AC93E4-0CAF-4344-B01B-CED3AFBA07E4}"/>
    <cellStyle name="Normal" xfId="0" builtinId="0"/>
    <cellStyle name="Normal - Style1" xfId="461" xr:uid="{A14DF482-8ADC-42CA-AA24-16AFD2A32DF9}"/>
    <cellStyle name="Normal - Style1 2" xfId="462" xr:uid="{C046CE14-4390-4477-B697-E102B76E7A9F}"/>
    <cellStyle name="Normal - Style1 2 2" xfId="463" xr:uid="{ADF0769D-2FEB-4A8C-B79C-B312F64BCC72}"/>
    <cellStyle name="Normal - Style1 2 2 2" xfId="803" xr:uid="{7092A7EC-C265-410A-B220-4F8B1037FB45}"/>
    <cellStyle name="Normal - Style1 2 3" xfId="802" xr:uid="{6BB06277-E82B-49E5-98CE-3DDF777F466C}"/>
    <cellStyle name="Normal - Style1 3" xfId="464" xr:uid="{A6DC318D-E60E-46F4-B18A-DA5768832806}"/>
    <cellStyle name="Normal - Style1 3 2" xfId="804" xr:uid="{1F224E55-1818-46F8-9587-24AA0CA7F368}"/>
    <cellStyle name="Normal - Style1 4" xfId="465" xr:uid="{EC5DD8D1-17E7-4F10-8D6E-50D9A9AE7328}"/>
    <cellStyle name="Normal - Style1 5" xfId="801" xr:uid="{9636BF71-DF4B-45FC-9C96-65158D8D4BFA}"/>
    <cellStyle name="Normal - Style1_CRU PROC" xfId="466" xr:uid="{A94312CA-4BFF-42AB-9483-41C58C581C0D}"/>
    <cellStyle name="Normal 10" xfId="467" xr:uid="{CB301DBF-341F-4767-B25A-D33E4D776858}"/>
    <cellStyle name="Normal 10 2" xfId="468" xr:uid="{4D4EA8C2-7EF1-48E7-950B-E0E4B87BE9AA}"/>
    <cellStyle name="Normal 10 2 2" xfId="469" xr:uid="{BFBC3F0C-D633-4D43-9F93-61E5EB953E3C}"/>
    <cellStyle name="Normal 10 3" xfId="470" xr:uid="{765D9681-B8DE-4533-B83F-C6D33798A5B3}"/>
    <cellStyle name="Normal 10 3 2" xfId="471" xr:uid="{1E42C721-AB3C-4E23-9921-BC85112F19E2}"/>
    <cellStyle name="Normal 10 4" xfId="472" xr:uid="{44A9DC15-0736-4974-BA46-C265168F6BA5}"/>
    <cellStyle name="Normal 10 4 2" xfId="473" xr:uid="{3F47EDB5-524A-47DD-9F32-33E827A41733}"/>
    <cellStyle name="Normal 10 5" xfId="474" xr:uid="{A3AD76D7-549D-41C4-92C2-7A8C157F3028}"/>
    <cellStyle name="Normal 10_CRU PROC" xfId="475" xr:uid="{309943E1-8FB9-489B-ACB3-1FCA24257E35}"/>
    <cellStyle name="Normal 11" xfId="476" xr:uid="{D0E13121-96FB-4BDE-A9EA-1A89EE0CDBE0}"/>
    <cellStyle name="Normal 11 2" xfId="477" xr:uid="{21E8FA88-925D-43BF-A9E7-286E95987D0E}"/>
    <cellStyle name="Normal 11 2 2" xfId="478" xr:uid="{FFFDFE92-49B1-4455-8BE9-008BC8BA443B}"/>
    <cellStyle name="Normal 11 2 2 2" xfId="479" xr:uid="{03E9573A-F45F-4787-8E2F-F5DB3C6A62D8}"/>
    <cellStyle name="Normal 11 2 3" xfId="480" xr:uid="{BB82E1B2-822D-4BAA-8C2C-5BD0AA6E0673}"/>
    <cellStyle name="Normal 11 2 4" xfId="481" xr:uid="{B3400384-D6F9-4D88-86C5-49DF3020527C}"/>
    <cellStyle name="Normal 11 3" xfId="482" xr:uid="{E0A693D9-ABC3-4CA2-B87F-F685B434D32A}"/>
    <cellStyle name="Normal 12" xfId="483" xr:uid="{E3263341-66AD-4C28-BF94-385F66678826}"/>
    <cellStyle name="Normal 12 2" xfId="484" xr:uid="{5A24FC76-F172-454E-AF37-FAE9A5E0B8AD}"/>
    <cellStyle name="Normal 12 2 2" xfId="485" xr:uid="{ED5FBBCC-3E0F-49FB-A44D-74B0319F9D7F}"/>
    <cellStyle name="Normal 12 3" xfId="486" xr:uid="{44EFFEBA-9D04-445E-AAA3-90814E95A709}"/>
    <cellStyle name="Normal 12 3 2" xfId="487" xr:uid="{2FFDDE09-4818-484F-A106-AD5E09C95075}"/>
    <cellStyle name="Normal 12 4" xfId="488" xr:uid="{1E86C553-D009-48E2-956B-AD628B6452D0}"/>
    <cellStyle name="Normal 12 5" xfId="489" xr:uid="{D7E37335-CEC8-4217-857D-D594707FF797}"/>
    <cellStyle name="Normal 12_CRU PROC" xfId="490" xr:uid="{C16B8783-CEDA-415B-9FA2-1041356B63A3}"/>
    <cellStyle name="Normal 13" xfId="491" xr:uid="{639DF13E-FAF4-4DBC-B266-BA809D277F75}"/>
    <cellStyle name="Normal 13 2" xfId="492" xr:uid="{D9496DB6-FCEC-47A4-9AD3-64EA5BAED508}"/>
    <cellStyle name="Normal 14" xfId="493" xr:uid="{3941E7D3-BEA7-471B-88F2-8D694D0B5DF3}"/>
    <cellStyle name="Normal 14 2" xfId="494" xr:uid="{1DC2D67D-0843-4131-B9EC-DEBE56BDDE0F}"/>
    <cellStyle name="Normal 15" xfId="495" xr:uid="{037BBE2A-5469-4721-AB48-3E0B11AC2B8E}"/>
    <cellStyle name="Normal 15 2" xfId="496" xr:uid="{FDEB4C7D-D91B-45CA-9D62-C06A9D860319}"/>
    <cellStyle name="Normal 16" xfId="497" xr:uid="{14193483-2BB8-4366-BE27-2A9FAC8A0A7A}"/>
    <cellStyle name="Normal 16 2" xfId="498" xr:uid="{7769975A-D07C-420E-A583-236A6B9F1FAA}"/>
    <cellStyle name="Normal 17" xfId="499" xr:uid="{5366AE93-7954-420E-99EC-DC3945CDAAC9}"/>
    <cellStyle name="Normal 17 2" xfId="500" xr:uid="{2CB67CED-F4F9-4BB8-8DE5-D1ED20A87BE6}"/>
    <cellStyle name="Normal 17 2 2" xfId="501" xr:uid="{8A2FCF31-5105-446A-AB4E-8E12507A303C}"/>
    <cellStyle name="Normal 17 3" xfId="502" xr:uid="{BC099C69-5179-40E0-9267-7DFDF72A72B8}"/>
    <cellStyle name="Normal 18" xfId="503" xr:uid="{9AC3B770-CB3F-49D0-B81D-E2219F4D767D}"/>
    <cellStyle name="Normal 18 2" xfId="504" xr:uid="{BD556E20-CD0C-4A2B-BE79-DF6F7E298BD6}"/>
    <cellStyle name="Normal 18 2 2" xfId="505" xr:uid="{D131BB6F-08CE-48C0-99BC-684C4738BBB2}"/>
    <cellStyle name="Normal 18 3" xfId="506" xr:uid="{7820AA35-2633-402B-B31D-223D5643E4F3}"/>
    <cellStyle name="Normal 19" xfId="507" xr:uid="{BBFA984C-54B1-4975-9A25-427C86C1694C}"/>
    <cellStyle name="Normal 19 2" xfId="508" xr:uid="{1950E12F-8659-44E4-96F5-1C75470EF699}"/>
    <cellStyle name="Normal 2" xfId="43" xr:uid="{02E26F05-B511-493A-BC67-4E7743D417B5}"/>
    <cellStyle name="Normal 2 10" xfId="509" xr:uid="{61623BC8-57CA-4E4A-900A-A30E559A9B1E}"/>
    <cellStyle name="Normal 2 2" xfId="510" xr:uid="{AB6A5FF5-2BAE-44B3-A30F-D3E731B7C89C}"/>
    <cellStyle name="Normal 2 2 2" xfId="511" xr:uid="{5AD987DA-0ED8-44EE-8BCA-55E55F1D091C}"/>
    <cellStyle name="Normal 2 2 2 2" xfId="512" xr:uid="{03ECFCA8-9AF4-48DB-8C1A-AD4934570401}"/>
    <cellStyle name="Normal 2 2 3" xfId="513" xr:uid="{2C6209FC-0F41-4419-B3F1-BE80BE5D008E}"/>
    <cellStyle name="Normal 2 2 3 5" xfId="514" xr:uid="{24A4FF47-0EA8-4453-BD5A-45DD45FEF77A}"/>
    <cellStyle name="Normal 2 2 4" xfId="515" xr:uid="{62C9EE26-B074-4648-8FC2-8CF0B4CCC00D}"/>
    <cellStyle name="Normal 2 2 5" xfId="516" xr:uid="{B8A2633D-D4F2-4EE0-99E6-D04CB35A522E}"/>
    <cellStyle name="Normal 2 3" xfId="517" xr:uid="{EC897A35-9D56-4039-8E03-72747CEC8E9C}"/>
    <cellStyle name="Normal 2 3 2" xfId="518" xr:uid="{677CDC09-145B-4AFA-94AB-629CA8D22BB4}"/>
    <cellStyle name="Normal 2 3 2 2" xfId="519" xr:uid="{8FE270A3-1DC1-4FB4-83AC-56C224096C53}"/>
    <cellStyle name="Normal 2 3 3" xfId="520" xr:uid="{9444C9DD-FD1D-4673-84D1-EC14D204C316}"/>
    <cellStyle name="Normal 2 3 4" xfId="521" xr:uid="{828C3A82-5648-4355-A8B1-0C6FE8EFE7FB}"/>
    <cellStyle name="Normal 2 4" xfId="522" xr:uid="{78F13924-BF41-4A60-A5E3-62F83D852795}"/>
    <cellStyle name="Normal 2 4 2" xfId="523" xr:uid="{7DAB550D-7865-479B-9402-AB7780F1673B}"/>
    <cellStyle name="Normal 2 4 2 2" xfId="524" xr:uid="{10F9B21C-5966-4FA5-AED0-8F97B1BD75FB}"/>
    <cellStyle name="Normal 2 4 3" xfId="525" xr:uid="{D57AFF2F-4118-492F-B94E-E062643F4CC4}"/>
    <cellStyle name="Normal 2 5" xfId="526" xr:uid="{43BF135C-ACFE-4400-B381-F5DB9FEEC657}"/>
    <cellStyle name="Normal 2 5 2" xfId="527" xr:uid="{3F912ECB-39B1-4BB8-AE43-13FF6B019499}"/>
    <cellStyle name="Normal 2 5 2 2" xfId="528" xr:uid="{BD5B2CF0-E0E2-400B-BD93-5DBC71668081}"/>
    <cellStyle name="Normal 2 5 3" xfId="529" xr:uid="{622D502B-93F5-4ACC-8091-7ED23EF6A22B}"/>
    <cellStyle name="Normal 2 5 3 2" xfId="530" xr:uid="{A9615378-4A07-4603-9B95-C284C78CA77E}"/>
    <cellStyle name="Normal 2 5 4" xfId="531" xr:uid="{38A4FD93-6362-4650-ADD0-CDF395C0B080}"/>
    <cellStyle name="Normal 2 6" xfId="532" xr:uid="{4A69F4D2-C3D3-4C10-88B5-D1B9F92DAE72}"/>
    <cellStyle name="Normal 2 6 2" xfId="533" xr:uid="{49FB9997-2AA2-4672-9AFB-4DE0512C9FCA}"/>
    <cellStyle name="Normal 2 7" xfId="534" xr:uid="{2ECFF5BC-FADE-442F-8F60-E54C0B30C606}"/>
    <cellStyle name="Normal 2 8" xfId="535" xr:uid="{13CB837A-8923-41E9-AD77-45349D9236E4}"/>
    <cellStyle name="Normal 2 8 2" xfId="536" xr:uid="{F54EB6B2-2706-401F-B5B9-3FBB53844A8E}"/>
    <cellStyle name="Normal 2 8 2 2" xfId="537" xr:uid="{99C5E180-9898-402F-98B7-5142FDFB7E02}"/>
    <cellStyle name="Normal 2 8 3" xfId="538" xr:uid="{E4D7121D-4A69-4FBF-A25E-8C8EFD639921}"/>
    <cellStyle name="Normal 2 9" xfId="539" xr:uid="{11ADCFC3-0426-4A7B-A7DE-190D8B874080}"/>
    <cellStyle name="Normal 20" xfId="540" xr:uid="{730EFD7D-50C2-4F02-A5B0-8093AE17E924}"/>
    <cellStyle name="Normal 21" xfId="541" xr:uid="{BF151C65-5BCA-4D4F-86EB-86CCA141F6ED}"/>
    <cellStyle name="Normal 22" xfId="542" xr:uid="{049F9941-E579-4B7D-AAA9-8784144B08A0}"/>
    <cellStyle name="Normal 23" xfId="543" xr:uid="{42AF0537-C506-4A7F-946E-6E9465203DC0}"/>
    <cellStyle name="Normal 24" xfId="544" xr:uid="{24AC706A-605B-4105-B554-8AF2148C4FFB}"/>
    <cellStyle name="Normal 24 2" xfId="545" xr:uid="{838BC5B0-61DD-4E53-9D85-5CF5D99FF1AB}"/>
    <cellStyle name="Normal 25" xfId="546" xr:uid="{17263706-B137-4A58-BDA2-9CB1D5D361AC}"/>
    <cellStyle name="Normal 25 2" xfId="547" xr:uid="{878B68AE-788A-4786-8F78-152329B9F77A}"/>
    <cellStyle name="Normal 259" xfId="548" xr:uid="{1F2533D6-9162-43D9-9A26-DD90F2D6ABEB}"/>
    <cellStyle name="Normal 259 4" xfId="549" xr:uid="{E37D9013-D84D-4275-B5F0-E2D34EF90939}"/>
    <cellStyle name="Normal 26" xfId="550" xr:uid="{FDDB6B62-2D43-4AE3-87AD-3F6D6BF2C58B}"/>
    <cellStyle name="Normal 26 2" xfId="551" xr:uid="{204718FD-92A0-48A6-ADC1-D37B6A5F5EC0}"/>
    <cellStyle name="Normal 27" xfId="552" xr:uid="{88A2E574-26EF-4B0C-B00E-874428D3A3C6}"/>
    <cellStyle name="Normal 27 2" xfId="553" xr:uid="{09B3F29B-8D0C-45E2-B102-EE6B707B5AAC}"/>
    <cellStyle name="Normal 28" xfId="554" xr:uid="{2AB198D0-6958-46CF-BBF5-4559C67837E3}"/>
    <cellStyle name="Normal 28 2" xfId="555" xr:uid="{2F2F3C27-E7DF-4853-A729-ADF2D3A8F01B}"/>
    <cellStyle name="Normal 29" xfId="556" xr:uid="{F71B858C-6E28-4730-AFD8-DFBA5E2F4FA1}"/>
    <cellStyle name="Normal 29 2" xfId="557" xr:uid="{3707CD5D-B1E8-4DF3-8C77-A936DE6C4A3A}"/>
    <cellStyle name="Normal 3" xfId="558" xr:uid="{86D9159E-B44A-44DF-9C79-496DD9CC198C}"/>
    <cellStyle name="Normal 3 2" xfId="559" xr:uid="{209EE6E6-58E6-45CD-816E-D0C3E40CB1A1}"/>
    <cellStyle name="Normal 3 2 2" xfId="560" xr:uid="{9F26FCB5-9E70-45A9-8239-B6D94C449503}"/>
    <cellStyle name="Normal 3 2 2 2" xfId="561" xr:uid="{BE4A24B4-8913-4F89-A605-28BC326AF20C}"/>
    <cellStyle name="Normal 3 2 3" xfId="562" xr:uid="{C19B29A6-CC55-423C-8B3A-BEE4451AC3DA}"/>
    <cellStyle name="Normal 3 2 3 2" xfId="563" xr:uid="{08DF92B4-FEBA-4BBC-AEF4-3D46C921FFEE}"/>
    <cellStyle name="Normal 3 2 3 2 2" xfId="564" xr:uid="{FA9398A1-9567-4184-861B-0D222A5E1A57}"/>
    <cellStyle name="Normal 3 3" xfId="565" xr:uid="{79E9776B-EB78-4445-8284-F9010968C9D7}"/>
    <cellStyle name="Normal 3 4" xfId="566" xr:uid="{C6ACFFF4-8168-4BF5-9425-DC9A805F156E}"/>
    <cellStyle name="Normal 3 5" xfId="567" xr:uid="{98BAEB21-358F-443C-A7F4-F056A3E3EC19}"/>
    <cellStyle name="Normal 3 6" xfId="568" xr:uid="{BA6A836D-01CB-4C9B-BC6C-7DBE1EA88B2B}"/>
    <cellStyle name="Normal 3 7" xfId="569" xr:uid="{BF03EC2E-5934-468D-B75B-325CD5DA1B64}"/>
    <cellStyle name="Normal 3 8" xfId="570" xr:uid="{37C80580-7662-4181-B4C7-A24498A61A17}"/>
    <cellStyle name="Normal 30" xfId="571" xr:uid="{C9C5B511-21C3-4FD8-8140-4C568A5F7703}"/>
    <cellStyle name="Normal 30 2" xfId="572" xr:uid="{06362228-2819-487F-B562-99F6EB64A026}"/>
    <cellStyle name="Normal 31" xfId="573" xr:uid="{8FA983F3-6B08-4476-A21C-FE9EB4AC0BA6}"/>
    <cellStyle name="Normal 31 2" xfId="574" xr:uid="{1782EC8F-122C-4271-9080-C1C9719C6744}"/>
    <cellStyle name="Normal 32" xfId="575" xr:uid="{3C4EC68C-7968-4057-80AA-BCB4B1DEFCD0}"/>
    <cellStyle name="Normal 32 2" xfId="576" xr:uid="{DEDDAECB-69A3-4745-823D-E919B84A7432}"/>
    <cellStyle name="Normal 33" xfId="577" xr:uid="{E001470C-199A-44ED-8FE0-679FCAED8B73}"/>
    <cellStyle name="Normal 33 2" xfId="578" xr:uid="{FFEFA838-8268-44BC-921B-7A467C7DF61F}"/>
    <cellStyle name="Normal 34" xfId="579" xr:uid="{06A70B84-3F87-423F-987D-3E508C7A31F5}"/>
    <cellStyle name="Normal 35" xfId="580" xr:uid="{A631BE0D-0262-4E2E-A0BF-34A109E0AE27}"/>
    <cellStyle name="Normal 36" xfId="581" xr:uid="{249B1F09-B2C9-4A16-BD3C-8DA4AC70E722}"/>
    <cellStyle name="Normal 37" xfId="582" xr:uid="{E69952DD-20D6-4C70-BFBE-0D59D2E5755D}"/>
    <cellStyle name="Normal 38" xfId="583" xr:uid="{0DBAE40B-CD5F-4408-8C40-5A5D48F81B9A}"/>
    <cellStyle name="Normal 39" xfId="584" xr:uid="{1C0C4EA2-F5DA-46AE-BA96-58305FE8D97E}"/>
    <cellStyle name="Normal 4" xfId="585" xr:uid="{97FB4976-4200-49E9-947F-42BAFA023AC5}"/>
    <cellStyle name="Normal 4 2" xfId="586" xr:uid="{877BB583-2876-4173-BEF7-76C328934A75}"/>
    <cellStyle name="Normal 4 2 2" xfId="587" xr:uid="{8E198B8C-15DB-4B48-A584-A08E4976F8C7}"/>
    <cellStyle name="Normal 4 3" xfId="588" xr:uid="{A03F5F05-9C93-4032-8A3B-A0DA53C4DA83}"/>
    <cellStyle name="Normal 4 3 2" xfId="589" xr:uid="{A37B47E2-DE5B-41E4-B48A-7FCFFE7050C0}"/>
    <cellStyle name="Normal 4 4" xfId="590" xr:uid="{F71901F7-C0B4-447A-894A-61CB97982E36}"/>
    <cellStyle name="Normal 4 5" xfId="591" xr:uid="{2DC19CAD-7944-4C15-9F3F-0627E7326842}"/>
    <cellStyle name="Normal 40" xfId="592" xr:uid="{83B6CA8E-6DB6-4826-A2F3-E4A6416297CD}"/>
    <cellStyle name="Normal 41" xfId="593" xr:uid="{4FA399AF-DFE0-4DD4-B10B-764162C3A800}"/>
    <cellStyle name="Normal 42" xfId="594" xr:uid="{2F5F5ACC-C22C-44DD-ABED-66742CCDDCAE}"/>
    <cellStyle name="Normal 43" xfId="595" xr:uid="{95EA0DAA-6B8B-48D2-94CE-5CD21E0FE4FC}"/>
    <cellStyle name="Normal 44" xfId="596" xr:uid="{17BB5B55-FF78-4E77-955C-1DFE500D1DAF}"/>
    <cellStyle name="Normal 45" xfId="597" xr:uid="{21EFA6F2-3500-4A49-90F4-7B4324FEC5B3}"/>
    <cellStyle name="Normal 46" xfId="598" xr:uid="{CD8B436A-7C29-4E2D-BA83-BB6815391A38}"/>
    <cellStyle name="Normal 47" xfId="599" xr:uid="{A22C049D-88D4-4888-81F7-4B6D7D09C59F}"/>
    <cellStyle name="Normal 48" xfId="790" xr:uid="{AEDC497E-6BE6-4EFA-9377-C1689D0D39D4}"/>
    <cellStyle name="Normal 5" xfId="600" xr:uid="{64A57245-F672-4002-BD44-FF9CCE94E767}"/>
    <cellStyle name="Normal 5 2" xfId="601" xr:uid="{ACB619A2-4D18-46E2-96C7-40E1494CEF2F}"/>
    <cellStyle name="Normal 5 2 2" xfId="602" xr:uid="{01387FB5-E01E-4B52-B67E-B4B42F0BF69E}"/>
    <cellStyle name="Normal 5 2 2 2" xfId="603" xr:uid="{F2B66670-B510-4DBE-B236-1158AD7117EB}"/>
    <cellStyle name="Normal 5 2 3" xfId="604" xr:uid="{6F022A96-5530-4BA2-B3E4-1ACA7E0A153C}"/>
    <cellStyle name="Normal 5 3" xfId="605" xr:uid="{A90A002A-BF6D-4D5D-977A-D41CE405D3CB}"/>
    <cellStyle name="Normal 6" xfId="606" xr:uid="{FDEA4576-2DE3-482F-B604-368BF696CB7D}"/>
    <cellStyle name="Normal 6 2" xfId="607" xr:uid="{017C9808-07BE-49AD-88E2-89BA88610A88}"/>
    <cellStyle name="Normal 6 2 2" xfId="608" xr:uid="{E8A95C19-C1E1-4796-964F-53E200D8848B}"/>
    <cellStyle name="Normal 6 2 2 2" xfId="609" xr:uid="{DC70AAFD-8425-4E7C-803D-DCCFB4F06FBF}"/>
    <cellStyle name="Normal 6 2 3" xfId="610" xr:uid="{098DBF97-F7F6-4BDA-AAF1-A49EF72E3EC0}"/>
    <cellStyle name="Normal 6 3" xfId="611" xr:uid="{0CF12436-D1FB-4D2F-AB81-4C00EC864D44}"/>
    <cellStyle name="Normal 7" xfId="612" xr:uid="{BD5872C4-7A98-4798-B926-CD595907549C}"/>
    <cellStyle name="Normal 7 2" xfId="613" xr:uid="{89A9DFCB-DE5B-4A14-9D93-BAD7D9D04889}"/>
    <cellStyle name="Normal 7 3" xfId="614" xr:uid="{28503D11-CED7-4CFE-B92B-CAEC0A034420}"/>
    <cellStyle name="Normal 7 4" xfId="615" xr:uid="{5FC45337-C644-404E-A918-E65D6449025F}"/>
    <cellStyle name="Normal 7 5" xfId="616" xr:uid="{B5E8441B-E9DE-45C5-AECA-9048B4B39969}"/>
    <cellStyle name="Normal 7_CRU PROC" xfId="617" xr:uid="{23E38B0B-4A48-4319-BC00-61B1F5452AC2}"/>
    <cellStyle name="Normal 8" xfId="618" xr:uid="{CC8E0A9C-549D-45C1-A90F-69B878FCD620}"/>
    <cellStyle name="Normal 8 2" xfId="619" xr:uid="{C0BFCAA4-DE79-4B8F-A59C-CD5CF140A092}"/>
    <cellStyle name="Normal 8 2 2" xfId="620" xr:uid="{BF2084D0-AD9C-4504-957C-C843950A5FE0}"/>
    <cellStyle name="Normal 8 3" xfId="621" xr:uid="{A6A3DA54-B7D3-4FAE-8FD2-2CC4244D50A2}"/>
    <cellStyle name="Normal 8 4" xfId="622" xr:uid="{6CA873C2-16EF-446F-9247-F06EB5844EC1}"/>
    <cellStyle name="Normal 8 5" xfId="623" xr:uid="{906D5579-BF47-4CEA-A277-EED7ECC94AE6}"/>
    <cellStyle name="Normal 8 6" xfId="624" xr:uid="{192889F8-7C94-4853-9C34-FDDC6FB05B96}"/>
    <cellStyle name="Normal 8_CRU PROC" xfId="625" xr:uid="{A6462BD0-D4E0-48B1-AE81-872B2EECDBC2}"/>
    <cellStyle name="Normal 9" xfId="626" xr:uid="{C5234267-9DB3-46ED-9423-959B2BF51B75}"/>
    <cellStyle name="Normal 9 2" xfId="627" xr:uid="{969EF242-2EE8-4524-B948-50F13279AEE6}"/>
    <cellStyle name="Note" xfId="16" builtinId="10" customBuiltin="1"/>
    <cellStyle name="Note 2" xfId="628" xr:uid="{695F5838-F1B1-41D4-B6DB-84F3A24EE87E}"/>
    <cellStyle name="Note 2 2" xfId="629" xr:uid="{9990FEAF-BC30-446C-B85C-1C6C834B4CFA}"/>
    <cellStyle name="Note 2 3" xfId="630" xr:uid="{2DA722B7-773B-4777-9858-2654A8EC5ABB}"/>
    <cellStyle name="Note 2 4" xfId="631" xr:uid="{D605F5B2-E8E0-49D8-ABD2-587D4EA9837A}"/>
    <cellStyle name="Note 3" xfId="632" xr:uid="{149C9DB4-3CA5-40FE-A894-09B2DD70B5E4}"/>
    <cellStyle name="Note 3 2" xfId="633" xr:uid="{D1F2CE89-0D07-42BC-88E0-D868C12B9A13}"/>
    <cellStyle name="Note 3 3" xfId="634" xr:uid="{CA10615F-AEF2-4B59-B1A1-2EE2C07D97C6}"/>
    <cellStyle name="Note 4" xfId="635" xr:uid="{20DCE3CC-860C-4D4B-BF61-BF79D6613D54}"/>
    <cellStyle name="Note 4 2" xfId="636" xr:uid="{CFF40A0C-3890-408F-9CD7-6C32AD428914}"/>
    <cellStyle name="Note 4 3" xfId="637" xr:uid="{214A258F-ABFA-474B-9410-5B4C1A0DDEB0}"/>
    <cellStyle name="Note 5" xfId="638" xr:uid="{9976F4C0-91F9-4ABF-B4AC-43420481BBB1}"/>
    <cellStyle name="Output" xfId="11" builtinId="21" customBuiltin="1"/>
    <cellStyle name="Output 2" xfId="639" xr:uid="{C46C2206-5CA2-423A-9EB0-24A2DF8ECA32}"/>
    <cellStyle name="Output 2 2" xfId="640" xr:uid="{AF8D7056-EF3D-4EDC-8B37-72867F635BFA}"/>
    <cellStyle name="Output 2 3" xfId="641" xr:uid="{4863A6C1-0A71-4AB7-A19E-9149D136CE86}"/>
    <cellStyle name="Output 3" xfId="642" xr:uid="{7CD67983-DFD0-4F14-B1AF-C2BE0FAC6E3A}"/>
    <cellStyle name="Output 4" xfId="643" xr:uid="{0C3AC5F1-FD96-407B-87FD-0CC32C3529C1}"/>
    <cellStyle name="Output 5" xfId="644" xr:uid="{1CE8BAC8-1402-4C4B-88DC-FBB81B1B3652}"/>
    <cellStyle name="P $,(0)" xfId="645" xr:uid="{6AD64AEC-E81B-47F3-98E4-17F043CBF82C}"/>
    <cellStyle name="Percent" xfId="1" builtinId="5"/>
    <cellStyle name="Percent [2]" xfId="646" xr:uid="{85CFE16C-0CE7-41C9-9E13-BC71840E2D1C}"/>
    <cellStyle name="Percent [2] 2" xfId="647" xr:uid="{5693C291-1D55-4F94-B1B8-45A19B72A231}"/>
    <cellStyle name="Percent [2] 2 2" xfId="648" xr:uid="{E18ECACC-BCB5-4A3D-8D87-EC3072B32749}"/>
    <cellStyle name="Percent [2] 3" xfId="649" xr:uid="{81CFCD98-A9C5-4368-BD99-1BFEE5356AD5}"/>
    <cellStyle name="Percent 10" xfId="650" xr:uid="{ADA26DC8-AC7E-4FF0-BCF4-3D8FB142BE82}"/>
    <cellStyle name="Percent 10 2" xfId="651" xr:uid="{74922988-0F78-4E09-B8F7-F4FBA051CA13}"/>
    <cellStyle name="Percent 10 2 2" xfId="652" xr:uid="{6357CBFB-E604-4B2A-8304-A8810B5B37A4}"/>
    <cellStyle name="Percent 10 2 2 2" xfId="653" xr:uid="{5C386381-D185-40C9-9373-F985C846818B}"/>
    <cellStyle name="Percent 11" xfId="654" xr:uid="{A88B18C3-300C-46A4-9F5D-5F0A60EBE163}"/>
    <cellStyle name="Percent 12" xfId="655" xr:uid="{BA2ADF6C-CA16-41A4-A2AC-8E9C186A682E}"/>
    <cellStyle name="Percent 12 2" xfId="656" xr:uid="{1678B350-3923-4B9C-B5CD-44ACEE8E77F8}"/>
    <cellStyle name="Percent 12 3" xfId="657" xr:uid="{74E633B6-67CB-4759-BBB1-93E5EB93C1E8}"/>
    <cellStyle name="Percent 13" xfId="658" xr:uid="{62C84838-E207-4F6E-9424-3FB6A2CF4250}"/>
    <cellStyle name="Percent 14" xfId="659" xr:uid="{587C4425-2C25-4774-941F-D81308A6787E}"/>
    <cellStyle name="Percent 15" xfId="660" xr:uid="{10EB20C1-0AFC-45EA-9652-12A3F4AC3ADF}"/>
    <cellStyle name="Percent 16" xfId="661" xr:uid="{DF0A917B-15F1-4B9D-84B6-C1E98D45599C}"/>
    <cellStyle name="Percent 17" xfId="662" xr:uid="{59E377A3-A98A-4357-BD4F-775F4C512AD6}"/>
    <cellStyle name="Percent 18" xfId="663" xr:uid="{16354EC7-3D98-4B2C-A528-CB09101E047A}"/>
    <cellStyle name="Percent 19" xfId="664" xr:uid="{FE7967EB-3926-4C0C-812F-B408D70B7DE3}"/>
    <cellStyle name="Percent 2" xfId="665" xr:uid="{1B5376F4-8A2D-4C34-B491-66EBB679061F}"/>
    <cellStyle name="Percent 2 2" xfId="666" xr:uid="{FB7F2582-52E3-4B45-A847-24632E5539A1}"/>
    <cellStyle name="Percent 2 2 2" xfId="667" xr:uid="{D22E8320-FB79-401E-8742-BDF986E2566D}"/>
    <cellStyle name="Percent 20" xfId="668" xr:uid="{230BC02C-B390-4942-9962-5CF701C080AF}"/>
    <cellStyle name="Percent 21" xfId="669" xr:uid="{2012EBB9-F0C3-4C3F-B4CB-87CE41D0F929}"/>
    <cellStyle name="Percent 22" xfId="670" xr:uid="{C8C3F969-022B-474C-9652-2A8222551098}"/>
    <cellStyle name="Percent 23" xfId="671" xr:uid="{530E3F98-6B79-407E-9C68-AA4F59166109}"/>
    <cellStyle name="Percent 24" xfId="672" xr:uid="{3C277F38-E13C-44B7-B3F1-510B916F8AD3}"/>
    <cellStyle name="Percent 25" xfId="673" xr:uid="{F3ACC2FD-53EC-4980-B5EF-38E93D571E1D}"/>
    <cellStyle name="Percent 26" xfId="674" xr:uid="{B22585B2-45C4-4941-8FD1-26B7F990AA5D}"/>
    <cellStyle name="Percent 27" xfId="675" xr:uid="{7FC03530-7DC8-47A6-863A-88723B6DAD7F}"/>
    <cellStyle name="Percent 28" xfId="676" xr:uid="{9E64A5D2-1053-4058-A1B2-9A94E40506C2}"/>
    <cellStyle name="Percent 3" xfId="677" xr:uid="{9EFD0FC6-7661-4009-8A42-FBF97596531B}"/>
    <cellStyle name="Percent 3 2" xfId="678" xr:uid="{4CE43A47-36C5-4BFC-B07F-5391C517DE3C}"/>
    <cellStyle name="Percent 3 2 2" xfId="679" xr:uid="{97A99DD9-D6F7-4C5C-AF7B-78034FF53DE4}"/>
    <cellStyle name="Percent 3 2 2 2" xfId="680" xr:uid="{95096BD7-11CB-41FA-A34D-19F1E50AC03E}"/>
    <cellStyle name="Percent 3 2 2 2 2" xfId="681" xr:uid="{5A5FFBC1-7EFC-447E-B366-645242B6E8D3}"/>
    <cellStyle name="Percent 3 2 3" xfId="682" xr:uid="{9092DA18-B690-43F6-9314-D0C9D4A61AF6}"/>
    <cellStyle name="Percent 3 3" xfId="683" xr:uid="{937AD6C3-AA6F-43DF-AF8A-7D411A394C75}"/>
    <cellStyle name="Percent 3 4" xfId="684" xr:uid="{747446F0-2C2D-4BBF-9E1D-515D50D20063}"/>
    <cellStyle name="Percent 4" xfId="685" xr:uid="{009F59BE-B045-40EB-9B91-B2CFC0824D61}"/>
    <cellStyle name="Percent 4 2" xfId="686" xr:uid="{3ACD85E7-C827-414D-B1C8-47C3A4AA474B}"/>
    <cellStyle name="Percent 4 3" xfId="687" xr:uid="{FEAEC42A-E79C-44EF-9C09-0C24765D32FE}"/>
    <cellStyle name="Percent 4 4" xfId="688" xr:uid="{5A724265-F6CC-4A87-BA22-4A4BD9F9F245}"/>
    <cellStyle name="Percent 5" xfId="689" xr:uid="{F5AD0755-AC69-4833-9B81-B3C424A1F704}"/>
    <cellStyle name="Percent 5 2" xfId="690" xr:uid="{3E7BF238-22B6-4760-A96B-D82D40D8E046}"/>
    <cellStyle name="Percent 5 3" xfId="691" xr:uid="{6FEE62DC-30A2-4EE2-AB14-3DC6D900903C}"/>
    <cellStyle name="Percent 5 4" xfId="692" xr:uid="{73CC68C3-17E0-469D-9996-65D8225F72D1}"/>
    <cellStyle name="Percent 6" xfId="693" xr:uid="{08C79D59-3D33-4506-8C72-C4FB0582AF3B}"/>
    <cellStyle name="Percent 6 2" xfId="694" xr:uid="{26402DC1-E85B-4CEC-839D-90DEB2DA1096}"/>
    <cellStyle name="Percent 6 3" xfId="695" xr:uid="{FF0BEFB8-F0A2-49A6-862A-D33C0B72C0B4}"/>
    <cellStyle name="Percent 7" xfId="696" xr:uid="{726D7DAA-C404-44B2-9A1C-885D326CC5FD}"/>
    <cellStyle name="Percent 7 2" xfId="697" xr:uid="{9BE28B1B-5C5B-4597-8146-7C4867A1C224}"/>
    <cellStyle name="Percent 7 3" xfId="698" xr:uid="{7B4A97D5-5352-49BF-A863-0F4A824D2C9B}"/>
    <cellStyle name="Percent 8" xfId="699" xr:uid="{A25C65FE-D3EF-4E54-A081-576587B4C9B7}"/>
    <cellStyle name="Percent 8 2" xfId="700" xr:uid="{92AE5FF5-9436-4CF6-A3D7-1584FE4307EB}"/>
    <cellStyle name="Percent 8 3" xfId="701" xr:uid="{8DAADE87-569C-4C72-981B-7E5A2859F06D}"/>
    <cellStyle name="Percent 9" xfId="702" xr:uid="{56324B22-45AD-4C9D-B50F-3BD7359BF80C}"/>
    <cellStyle name="Percent 9 2" xfId="703" xr:uid="{9D658185-B5F1-4E69-B27D-AEB924D21ED0}"/>
    <cellStyle name="Percent 9 3" xfId="704" xr:uid="{6C096C09-85A1-42A2-97D9-C199523C7F31}"/>
    <cellStyle name="Prot $,(0)" xfId="705" xr:uid="{2B0ECC58-3908-4416-9865-81C259684AE9}"/>
    <cellStyle name="Prot Fixed (1)" xfId="706" xr:uid="{5131AAE4-FA0E-4B11-AC1F-1E2B301FC88D}"/>
    <cellStyle name="Prot, (0)" xfId="707" xr:uid="{D7329E14-3900-4B17-92C4-E165E8E4B767}"/>
    <cellStyle name="Prot, Fixed (2)" xfId="708" xr:uid="{B06B2E61-4420-459A-B47B-740EC03E90FB}"/>
    <cellStyle name="RevList" xfId="709" xr:uid="{0DC77688-5787-4245-8532-F80112EE814E}"/>
    <cellStyle name="RevList 2" xfId="710" xr:uid="{38EA8438-8EFA-4CB3-B94D-CB1AB5FE929F}"/>
    <cellStyle name="SAPBEXaggData" xfId="711" xr:uid="{80FF973D-EB27-409B-940E-6EA24E8496BE}"/>
    <cellStyle name="SAPBEXaggDataEmph" xfId="712" xr:uid="{07635B5A-FD86-4FFD-9C74-C4149B3B3F62}"/>
    <cellStyle name="SAPBEXaggItem" xfId="713" xr:uid="{36AE102B-E5ED-4E27-802D-2DC2B0E4AB9D}"/>
    <cellStyle name="SAPBEXaggItemX" xfId="714" xr:uid="{68FAFE16-04DA-4DEA-BC23-451A42B1FA8B}"/>
    <cellStyle name="SAPBEXchaText" xfId="715" xr:uid="{959A95CD-62A1-4EE3-A979-0602B1EC42F9}"/>
    <cellStyle name="SAPBEXexcBad7" xfId="716" xr:uid="{44A2A26E-5352-4565-BB10-5FB97DE12B2C}"/>
    <cellStyle name="SAPBEXexcBad8" xfId="717" xr:uid="{D22D7F21-68FE-4C5E-AF25-5846A8644205}"/>
    <cellStyle name="SAPBEXexcBad9" xfId="718" xr:uid="{68DAA36E-735A-4189-A90F-1390BF47B310}"/>
    <cellStyle name="SAPBEXexcCritical4" xfId="719" xr:uid="{D7BE584C-E5A9-42A0-A6E1-6E5AA4CFBAEA}"/>
    <cellStyle name="SAPBEXexcCritical5" xfId="720" xr:uid="{A64799EF-7210-451E-94D7-073D16F51188}"/>
    <cellStyle name="SAPBEXexcCritical6" xfId="721" xr:uid="{928DB26A-89EC-40E8-88B5-985D87F0BDCB}"/>
    <cellStyle name="SAPBEXexcGood1" xfId="722" xr:uid="{3103409D-D4E0-4985-9ADF-1FE28DD50784}"/>
    <cellStyle name="SAPBEXexcGood2" xfId="723" xr:uid="{32B96C8B-3F4E-42B5-BD5E-08015F966EEB}"/>
    <cellStyle name="SAPBEXexcGood3" xfId="724" xr:uid="{6BEA2EB7-AA04-4774-8998-CACDB040DAC6}"/>
    <cellStyle name="SAPBEXfilterDrill" xfId="725" xr:uid="{523F9782-F565-453E-9BB6-0C5F83416364}"/>
    <cellStyle name="SAPBEXfilterItem" xfId="726" xr:uid="{FC4F8733-8FBB-4BFA-8336-F42C37B3BB79}"/>
    <cellStyle name="SAPBEXfilterText" xfId="727" xr:uid="{EFD01F2D-BA30-494E-906E-72B55225FCB7}"/>
    <cellStyle name="SAPBEXformats" xfId="728" xr:uid="{FFA8FF7C-E090-482C-9D10-630570EB3F33}"/>
    <cellStyle name="SAPBEXheaderItem" xfId="729" xr:uid="{F68527E9-5BF1-4199-8171-165F8361090A}"/>
    <cellStyle name="SAPBEXheaderText" xfId="730" xr:uid="{A211307C-0531-409D-ACE2-CB3B725CA8A6}"/>
    <cellStyle name="SAPBEXHLevel0" xfId="731" xr:uid="{6F855B77-75B9-4683-8F7B-6913161AFE88}"/>
    <cellStyle name="SAPBEXHLevel0X" xfId="732" xr:uid="{FE691EB6-3E06-4FD5-B6DB-820C46AC2114}"/>
    <cellStyle name="SAPBEXHLevel1" xfId="733" xr:uid="{483F5237-B0A0-4C27-86A1-E83E04653352}"/>
    <cellStyle name="SAPBEXHLevel1X" xfId="734" xr:uid="{681A038E-794B-4BAC-A56A-B21E40C75529}"/>
    <cellStyle name="SAPBEXHLevel2" xfId="735" xr:uid="{1FDF55FF-4581-4F0F-B898-C6C4ABCF649A}"/>
    <cellStyle name="SAPBEXHLevel2X" xfId="736" xr:uid="{47551440-7449-4A75-A1AB-F44834BC8B46}"/>
    <cellStyle name="SAPBEXHLevel3" xfId="737" xr:uid="{28DD186E-1492-4E18-B8F6-657E4B1F8C87}"/>
    <cellStyle name="SAPBEXHLevel3X" xfId="738" xr:uid="{59B8DD85-BB20-49A6-BE7C-9CB95770C6BF}"/>
    <cellStyle name="SAPBEXinputData" xfId="739" xr:uid="{92396AA8-43C5-46F2-A4AC-D61076A8E03E}"/>
    <cellStyle name="SAPBEXItemHeader" xfId="740" xr:uid="{5E864165-B366-4AF8-9183-141189AEDCE3}"/>
    <cellStyle name="SAPBEXresData" xfId="741" xr:uid="{11E0050C-8196-4E91-91F1-CB46F9321F35}"/>
    <cellStyle name="SAPBEXresDataEmph" xfId="742" xr:uid="{7EFB09CA-8E7F-4A68-AAFE-B3021F3542FA}"/>
    <cellStyle name="SAPBEXresItem" xfId="743" xr:uid="{B10A90CD-601A-4F1D-94E9-1E7E7032777B}"/>
    <cellStyle name="SAPBEXresItemX" xfId="744" xr:uid="{6F22A04A-71D0-4B8E-B528-5E5904E0FEB3}"/>
    <cellStyle name="SAPBEXstdData" xfId="745" xr:uid="{CB5FDBAA-8E3A-4A73-AB9E-D8548A0197F9}"/>
    <cellStyle name="SAPBEXstdDataEmph" xfId="746" xr:uid="{962A7B37-07DD-4EE4-ACF6-44235BB51F20}"/>
    <cellStyle name="SAPBEXstdItem" xfId="747" xr:uid="{4DBCCEE7-F7B5-4848-AAD8-1D6CEB599450}"/>
    <cellStyle name="SAPBEXstdItemX" xfId="748" xr:uid="{6EA645E4-7A31-41BF-8129-5172A151597D}"/>
    <cellStyle name="SAPBEXtitle" xfId="749" xr:uid="{8BA8706C-AC66-491C-B394-4C8EAF0C6268}"/>
    <cellStyle name="SAPBEXunassignedItem" xfId="750" xr:uid="{48422D76-95E3-4B00-A343-7E978C2E649B}"/>
    <cellStyle name="SAPBEXundefined" xfId="751" xr:uid="{35CA72A0-3B3A-4F42-8FE3-3473E3513513}"/>
    <cellStyle name="Sheet Title" xfId="752" xr:uid="{CCA8CA38-C6BF-482C-9623-11FE798AF78C}"/>
    <cellStyle name="style" xfId="753" xr:uid="{CCD5433C-3B7E-46E9-8A00-8E171975B73F}"/>
    <cellStyle name="Style 1" xfId="754" xr:uid="{F4B55662-3D93-4067-805F-4ED7E15710BA}"/>
    <cellStyle name="style1" xfId="755" xr:uid="{10FD84B9-950A-495B-B23D-A8DB49278972}"/>
    <cellStyle name="style2" xfId="756" xr:uid="{1A10EC66-1595-43A3-9BAF-36A4D58BA5CE}"/>
    <cellStyle name="Subtotal" xfId="757" xr:uid="{5774DD67-91BA-41B9-BB4D-E546DDE46EBB}"/>
    <cellStyle name="þ_x001d_ð &amp;ý&amp;†ýG_x0008_ X_x000a__x0007__x0001__x0001_" xfId="758" xr:uid="{E78C70A6-DD6E-40DE-9863-CA9AF3BEFDAB}"/>
    <cellStyle name="þ_x001d_ð &amp;ý&amp;†ýG_x0008_ X_x000a__x0007__x0001__x0001_ 2" xfId="759" xr:uid="{2998D605-E3A9-46BB-A54B-251FF9CB9401}"/>
    <cellStyle name="þ_x001d_ð &amp;ý&amp;†ýG_x0008_ X_x000a__x0007__x0001__x0001_ 2 2" xfId="760" xr:uid="{3A1EFFF9-BCEA-4704-9F0F-93D2496F9434}"/>
    <cellStyle name="þ_x001d_ð &amp;ý&amp;†ýG_x0008_ X_x000a__x0007__x0001__x0001_ 3" xfId="761" xr:uid="{1600E1D6-69AE-49D3-97F7-5DCF410AB602}"/>
    <cellStyle name="þ_x001d_ð &amp;ý&amp;†ýG_x0008__x0009_X_x000a__x0007__x0001__x0001_" xfId="762" xr:uid="{D8B91670-8D64-4D42-AE49-881A62FA6B6D}"/>
    <cellStyle name="þ_x001d_ð &amp;ý&amp;†ýG_x0008__x0009_X_x000a__x0007__x0001__x0001_ 2" xfId="763" xr:uid="{65452DE4-64E2-47CF-BA7C-C6F91C93F3DE}"/>
    <cellStyle name="þ_x001d_ð&quot;_x000c_Býò_x000c_5ýU_x0001_e_x0005_¹,_x0007__x0001__x0001_" xfId="764" xr:uid="{C29291F1-AFA2-46DB-B4D1-6BB00FD3ECE9}"/>
    <cellStyle name="þ_x001d_ð&quot;_x000c_Býò_x000c_5ýU_x0001_e_x0005_¹,_x0007__x0001__x0001_ 2" xfId="765" xr:uid="{2D824CEF-ADC3-4DFA-8C66-8E8C54ECB9EB}"/>
    <cellStyle name="þ_x001d_ð&quot;_x000c_Býò_x000c_5ýU_x0001_e_x0005_¹,_x0007__x0001__x0001_ 2 2" xfId="766" xr:uid="{E39A1250-2FC9-40BE-A217-D7B171A376EA}"/>
    <cellStyle name="þ_x001d_ð&quot;_x000c_Býò_x000c_5ýU_x0001_e_x0005_¹,_x0007__x0001__x0001_ 3" xfId="767" xr:uid="{BF36A470-74B7-46C3-9775-8D2ED50181B3}"/>
    <cellStyle name="Title" xfId="2" builtinId="15" customBuiltin="1"/>
    <cellStyle name="Title 2" xfId="768" xr:uid="{3AAF26AF-DFF1-46D3-80C1-176FCB1F132D}"/>
    <cellStyle name="Title 2 2" xfId="769" xr:uid="{22317493-0D4E-41F8-A333-9B9A16931B71}"/>
    <cellStyle name="Title 3" xfId="770" xr:uid="{9CDCF9B2-67F7-4D5E-8603-14EA8DF5979D}"/>
    <cellStyle name="Title 4" xfId="771" xr:uid="{AA1B7946-282F-4CA0-B78D-766E556F19FB}"/>
    <cellStyle name="Title 5" xfId="772" xr:uid="{52FF2488-3B91-4A2F-8421-5F50B738BB4A}"/>
    <cellStyle name="Total" xfId="18" builtinId="25" customBuiltin="1"/>
    <cellStyle name="Total 2" xfId="773" xr:uid="{FBD2C1EE-36C3-4556-B50C-80A83908EF23}"/>
    <cellStyle name="Total 2 2" xfId="774" xr:uid="{A9F98839-ED33-4EEC-94EA-FB2FDBDF5276}"/>
    <cellStyle name="Total 2 3" xfId="775" xr:uid="{BAA6230F-6828-4D47-B90C-15D1B59004CB}"/>
    <cellStyle name="Total 3" xfId="776" xr:uid="{A5A60574-4BCB-4CD6-B4B1-00AFF310F0C7}"/>
    <cellStyle name="Total 4" xfId="777" xr:uid="{A81B5C9C-F09F-4770-86D7-AEA33E92B8C9}"/>
    <cellStyle name="Unp $,(2)" xfId="778" xr:uid="{FC342F48-5BF5-4868-AB4F-D47E43082EDA}"/>
    <cellStyle name="Unp Comma [0]" xfId="779" xr:uid="{D3467BBE-8435-4E36-901F-D792940E1385}"/>
    <cellStyle name="Unp comment" xfId="780" xr:uid="{91397952-8C2C-4FD1-9763-D9814C2D1EDD}"/>
    <cellStyle name="Unp Fixed (1)" xfId="781" xr:uid="{BBF948F3-457C-426A-BCF4-E611859FEEF1}"/>
    <cellStyle name="Unp Fixed (2)" xfId="782" xr:uid="{2DC4E768-0551-45B2-8ABD-463A1CA94BBF}"/>
    <cellStyle name="Unprotected" xfId="783" xr:uid="{3EBDA602-95BF-41E2-8C06-02CE3EA76855}"/>
    <cellStyle name="Warning Text" xfId="15" builtinId="11" customBuiltin="1"/>
    <cellStyle name="Warning Text 2" xfId="784" xr:uid="{46645DE4-F696-4429-80A4-9F78461DD16E}"/>
    <cellStyle name="Warning Text 2 2" xfId="785" xr:uid="{6D1297A9-571C-4B44-8BAC-BE9248A0C490}"/>
    <cellStyle name="Warning Text 2 3" xfId="786" xr:uid="{874CD44A-873B-470B-B304-629AF50D8493}"/>
    <cellStyle name="Warning Text 3" xfId="787" xr:uid="{F6A78819-93FC-4969-9468-ECEC8E045C71}"/>
    <cellStyle name="Warning Text 4" xfId="788" xr:uid="{6B3569C0-FC35-4394-AF5B-3D679A406A4E}"/>
    <cellStyle name="Warning Text 5" xfId="789" xr:uid="{68FD6A22-5F67-40B6-B732-ADBC73DAB585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Q.1!$B$10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25-4344-8D99-939E0A3B90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25-4344-8D99-939E0A3B90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25-4344-8D99-939E0A3B90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25-4344-8D99-939E0A3B90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25-4344-8D99-939E0A3B90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25-4344-8D99-939E0A3B90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25-4344-8D99-939E0A3B90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A25-4344-8D99-939E0A3B90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A25-4344-8D99-939E0A3B90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A25-4344-8D99-939E0A3B90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Q.1!$A$11:$A$20</c:f>
              <c:strCache>
                <c:ptCount val="10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and Light</c:v>
                </c:pt>
                <c:pt idx="5">
                  <c:v>Trans and commu.</c:v>
                </c:pt>
                <c:pt idx="6">
                  <c:v>Education</c:v>
                </c:pt>
                <c:pt idx="7">
                  <c:v>Misc.</c:v>
                </c:pt>
                <c:pt idx="8">
                  <c:v>Genral in.</c:v>
                </c:pt>
                <c:pt idx="9">
                  <c:v>Essential</c:v>
                </c:pt>
              </c:strCache>
            </c:strRef>
          </c:cat>
          <c:val>
            <c:numRef>
              <c:f>Q.1!$B$11:$B$20</c:f>
              <c:numCache>
                <c:formatCode>General</c:formatCode>
                <c:ptCount val="10"/>
                <c:pt idx="0">
                  <c:v>2112</c:v>
                </c:pt>
                <c:pt idx="1">
                  <c:v>737.3</c:v>
                </c:pt>
                <c:pt idx="2">
                  <c:v>569.90000000000009</c:v>
                </c:pt>
                <c:pt idx="3">
                  <c:v>355.4</c:v>
                </c:pt>
                <c:pt idx="4">
                  <c:v>182.5</c:v>
                </c:pt>
                <c:pt idx="5">
                  <c:v>169.7</c:v>
                </c:pt>
                <c:pt idx="6">
                  <c:v>180.3</c:v>
                </c:pt>
                <c:pt idx="7">
                  <c:v>179.5</c:v>
                </c:pt>
                <c:pt idx="8">
                  <c:v>179.8</c:v>
                </c:pt>
                <c:pt idx="9">
                  <c:v>707.3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A-44E6-A437-121C4C8FF5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Q.1!$B$26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93-461A-AF91-855A1393D4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93-461A-AF91-855A1393D4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93-461A-AF91-855A1393D4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D93-461A-AF91-855A1393D4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D93-461A-AF91-855A1393D4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D93-461A-AF91-855A1393D4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D93-461A-AF91-855A1393D4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D93-461A-AF91-855A1393D4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D93-461A-AF91-855A1393D4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D93-461A-AF91-855A1393D4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Q.1!$A$27:$A$36</c:f>
              <c:strCache>
                <c:ptCount val="10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and Light</c:v>
                </c:pt>
                <c:pt idx="5">
                  <c:v>Trans and commu.</c:v>
                </c:pt>
                <c:pt idx="6">
                  <c:v>Education</c:v>
                </c:pt>
                <c:pt idx="7">
                  <c:v>Misc.</c:v>
                </c:pt>
                <c:pt idx="8">
                  <c:v>Genral in.</c:v>
                </c:pt>
                <c:pt idx="9">
                  <c:v>Essential</c:v>
                </c:pt>
              </c:strCache>
            </c:strRef>
          </c:cat>
          <c:val>
            <c:numRef>
              <c:f>Q.1!$B$27:$B$36</c:f>
              <c:numCache>
                <c:formatCode>General</c:formatCode>
                <c:ptCount val="10"/>
                <c:pt idx="0">
                  <c:v>2169.1999999999998</c:v>
                </c:pt>
                <c:pt idx="1">
                  <c:v>724.90000000000009</c:v>
                </c:pt>
                <c:pt idx="2">
                  <c:v>528.70000000000005</c:v>
                </c:pt>
                <c:pt idx="3">
                  <c:v>345.7</c:v>
                </c:pt>
                <c:pt idx="4">
                  <c:v>183.4</c:v>
                </c:pt>
                <c:pt idx="5">
                  <c:v>160.4</c:v>
                </c:pt>
                <c:pt idx="6">
                  <c:v>174.8</c:v>
                </c:pt>
                <c:pt idx="7">
                  <c:v>171.6</c:v>
                </c:pt>
                <c:pt idx="8">
                  <c:v>178.2</c:v>
                </c:pt>
                <c:pt idx="9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6-4EAE-A1FD-4047C25782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101487314085746E-2"/>
          <c:y val="0.77256780402449698"/>
          <c:w val="0.86379702537182856"/>
          <c:h val="0.22586369807222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Q.1!$B$45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6-41E5-BCE3-06239C1C78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6-41E5-BCE3-06239C1C78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6-41E5-BCE3-06239C1C78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6-41E5-BCE3-06239C1C78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6-41E5-BCE3-06239C1C78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6-41E5-BCE3-06239C1C78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6-41E5-BCE3-06239C1C78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6-41E5-BCE3-06239C1C78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6-41E5-BCE3-06239C1C78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6-41E5-BCE3-06239C1C78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Q.1!$A$46:$A$55</c:f>
              <c:strCache>
                <c:ptCount val="10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and Light</c:v>
                </c:pt>
                <c:pt idx="5">
                  <c:v>Trans and commu.</c:v>
                </c:pt>
                <c:pt idx="6">
                  <c:v>Education</c:v>
                </c:pt>
                <c:pt idx="7">
                  <c:v>Misc.</c:v>
                </c:pt>
                <c:pt idx="8">
                  <c:v>Genral in.</c:v>
                </c:pt>
                <c:pt idx="9">
                  <c:v>Essential</c:v>
                </c:pt>
              </c:strCache>
            </c:strRef>
          </c:cat>
          <c:val>
            <c:numRef>
              <c:f>Q.1!$B$46:$B$55</c:f>
              <c:numCache>
                <c:formatCode>General</c:formatCode>
                <c:ptCount val="10"/>
                <c:pt idx="0">
                  <c:v>2133.5</c:v>
                </c:pt>
                <c:pt idx="1">
                  <c:v>730.8</c:v>
                </c:pt>
                <c:pt idx="2">
                  <c:v>553.20000000000005</c:v>
                </c:pt>
                <c:pt idx="3">
                  <c:v>350.79999999999995</c:v>
                </c:pt>
                <c:pt idx="4">
                  <c:v>182.8</c:v>
                </c:pt>
                <c:pt idx="5">
                  <c:v>164.8</c:v>
                </c:pt>
                <c:pt idx="6">
                  <c:v>177.1</c:v>
                </c:pt>
                <c:pt idx="7">
                  <c:v>175.7</c:v>
                </c:pt>
                <c:pt idx="8">
                  <c:v>179.1</c:v>
                </c:pt>
                <c:pt idx="9">
                  <c:v>698.90000000000009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B-456C-B8CA-F6EF514FBF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0000"/>
                </a:solidFill>
              </a:rPr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Q.2!$H$11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Q.2!$G$12:$G$22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Q.2!$H$12:$H$22</c:f>
              <c:numCache>
                <c:formatCode>0%</c:formatCode>
                <c:ptCount val="11"/>
                <c:pt idx="1">
                  <c:v>6.6481504860497226E-2</c:v>
                </c:pt>
                <c:pt idx="2">
                  <c:v>4.8652871821582552E-2</c:v>
                </c:pt>
                <c:pt idx="3">
                  <c:v>4.9285440137268044E-2</c:v>
                </c:pt>
                <c:pt idx="4">
                  <c:v>3.3199931147258686E-2</c:v>
                </c:pt>
                <c:pt idx="5">
                  <c:v>3.9609321310314437E-2</c:v>
                </c:pt>
                <c:pt idx="6">
                  <c:v>3.9358550145593821E-2</c:v>
                </c:pt>
                <c:pt idx="7">
                  <c:v>6.3851393969975745E-2</c:v>
                </c:pt>
                <c:pt idx="8">
                  <c:v>5.274027696254309E-2</c:v>
                </c:pt>
                <c:pt idx="9">
                  <c:v>6.6029943211151423E-2</c:v>
                </c:pt>
                <c:pt idx="10">
                  <c:v>3.1953121216523474E-2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6-4F47-9687-26C8C60A60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0145423"/>
        <c:axId val="730148303"/>
      </c:lineChart>
      <c:catAx>
        <c:axId val="73014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48303"/>
        <c:crosses val="autoZero"/>
        <c:auto val="1"/>
        <c:lblAlgn val="ctr"/>
        <c:lblOffset val="100"/>
        <c:noMultiLvlLbl val="0"/>
      </c:catAx>
      <c:valAx>
        <c:axId val="73014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4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Rural + Urban : Inflation pre and Post</a:t>
            </a:r>
            <a:r>
              <a:rPr lang="en-US" b="1" baseline="0"/>
              <a:t> Covid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Q.4!$A$39</c:f>
              <c:strCache>
                <c:ptCount val="1"/>
                <c:pt idx="0">
                  <c:v>Inflation Rate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Q.4!$B$38:$E$38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Q.4!$B$39:$E$39</c:f>
              <c:numCache>
                <c:formatCode>0.000</c:formatCode>
                <c:ptCount val="4"/>
                <c:pt idx="0">
                  <c:v>1.044546850998352E-3</c:v>
                </c:pt>
                <c:pt idx="1">
                  <c:v>6.0799806984739552E-2</c:v>
                </c:pt>
                <c:pt idx="2">
                  <c:v>5.1319814517501915E-2</c:v>
                </c:pt>
                <c:pt idx="3">
                  <c:v>5.8956202465250629E-2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C-49A1-8248-956F8FC0FAD6}"/>
            </c:ext>
          </c:extLst>
        </c:ser>
        <c:ser>
          <c:idx val="1"/>
          <c:order val="1"/>
          <c:tx>
            <c:strRef>
              <c:f>Q.4!$A$40</c:f>
              <c:strCache>
                <c:ptCount val="1"/>
                <c:pt idx="0">
                  <c:v>Inflation Rate of Healthcare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Q.4!$B$38:$E$38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Q.4!$B$40:$E$40</c:f>
              <c:numCache>
                <c:formatCode>0.000</c:formatCode>
                <c:ptCount val="4"/>
                <c:pt idx="0">
                  <c:v>8.1360946745562143E-2</c:v>
                </c:pt>
                <c:pt idx="1">
                  <c:v>3.6759700476514674E-2</c:v>
                </c:pt>
                <c:pt idx="2">
                  <c:v>7.2992700729927015E-2</c:v>
                </c:pt>
                <c:pt idx="3">
                  <c:v>6.5927295132470656E-2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C-49A1-8248-956F8FC0FAD6}"/>
            </c:ext>
          </c:extLst>
        </c:ser>
        <c:ser>
          <c:idx val="2"/>
          <c:order val="2"/>
          <c:tx>
            <c:strRef>
              <c:f>Q.4!$A$41</c:f>
              <c:strCache>
                <c:ptCount val="1"/>
                <c:pt idx="0">
                  <c:v>Inflation Rate of 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Q.4!$B$38:$E$38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Q.4!$B$41:$E$41</c:f>
              <c:numCache>
                <c:formatCode>0.000</c:formatCode>
                <c:ptCount val="4"/>
                <c:pt idx="0">
                  <c:v>4.0504451038575598E-2</c:v>
                </c:pt>
                <c:pt idx="1">
                  <c:v>3.9852503191036934E-2</c:v>
                </c:pt>
                <c:pt idx="2">
                  <c:v>0.10485233520894208</c:v>
                </c:pt>
                <c:pt idx="3">
                  <c:v>5.4863163304638224E-2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C-49A1-8248-956F8FC0F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333456"/>
        <c:axId val="509328656"/>
      </c:barChart>
      <c:catAx>
        <c:axId val="50933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28656"/>
        <c:crosses val="autoZero"/>
        <c:auto val="1"/>
        <c:lblAlgn val="ctr"/>
        <c:lblOffset val="100"/>
        <c:noMultiLvlLbl val="0"/>
      </c:catAx>
      <c:valAx>
        <c:axId val="50932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33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Correlation by Category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Q.5b!$C$39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strRef>
              <c:f>Q.5b!$B$40:$B$66</c:f>
              <c:strCache>
                <c:ptCount val="27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  <c:pt idx="26">
                  <c:v>General index</c:v>
                </c:pt>
              </c:strCache>
            </c:strRef>
          </c:cat>
          <c:val>
            <c:numRef>
              <c:f>Q.5b!$C$40:$C$66</c:f>
              <c:numCache>
                <c:formatCode>0.00</c:formatCode>
                <c:ptCount val="27"/>
                <c:pt idx="0">
                  <c:v>0.34006209109281516</c:v>
                </c:pt>
                <c:pt idx="1">
                  <c:v>0.44175237782039489</c:v>
                </c:pt>
                <c:pt idx="2">
                  <c:v>-0.17774854071947588</c:v>
                </c:pt>
                <c:pt idx="3">
                  <c:v>0.38824648190848432</c:v>
                </c:pt>
                <c:pt idx="4">
                  <c:v>0.35004340840011133</c:v>
                </c:pt>
                <c:pt idx="5">
                  <c:v>0.34991429337518803</c:v>
                </c:pt>
                <c:pt idx="6">
                  <c:v>0.26035409695922324</c:v>
                </c:pt>
                <c:pt idx="7">
                  <c:v>8.084568233932507E-2</c:v>
                </c:pt>
                <c:pt idx="8">
                  <c:v>0.28396294079946582</c:v>
                </c:pt>
                <c:pt idx="9">
                  <c:v>0.39835435073586312</c:v>
                </c:pt>
                <c:pt idx="10">
                  <c:v>0.40159891883146609</c:v>
                </c:pt>
                <c:pt idx="11">
                  <c:v>0.44387703280775181</c:v>
                </c:pt>
                <c:pt idx="12">
                  <c:v>0.48292824689801184</c:v>
                </c:pt>
                <c:pt idx="13">
                  <c:v>0.28268233323326969</c:v>
                </c:pt>
                <c:pt idx="14">
                  <c:v>0.46594536141993775</c:v>
                </c:pt>
                <c:pt idx="15">
                  <c:v>0.49647859809199807</c:v>
                </c:pt>
                <c:pt idx="16">
                  <c:v>0.47110545507559964</c:v>
                </c:pt>
                <c:pt idx="17">
                  <c:v>0.39383766454368296</c:v>
                </c:pt>
                <c:pt idx="18">
                  <c:v>0.50063172215669227</c:v>
                </c:pt>
                <c:pt idx="19">
                  <c:v>0.445790737879739</c:v>
                </c:pt>
                <c:pt idx="20">
                  <c:v>0.39010902535376213</c:v>
                </c:pt>
                <c:pt idx="21">
                  <c:v>0.4965966892553304</c:v>
                </c:pt>
                <c:pt idx="22">
                  <c:v>0.48756664966525992</c:v>
                </c:pt>
                <c:pt idx="23">
                  <c:v>0.42563603655320636</c:v>
                </c:pt>
                <c:pt idx="24">
                  <c:v>0.38566638127912767</c:v>
                </c:pt>
                <c:pt idx="25">
                  <c:v>0.44835375092326762</c:v>
                </c:pt>
                <c:pt idx="26">
                  <c:v>0.47276332727738241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F-419E-B6BB-5A9D8B7A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285472"/>
        <c:axId val="777264352"/>
      </c:barChart>
      <c:catAx>
        <c:axId val="77728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64352"/>
        <c:crosses val="autoZero"/>
        <c:auto val="1"/>
        <c:lblAlgn val="ctr"/>
        <c:lblOffset val="100"/>
        <c:noMultiLvlLbl val="0"/>
      </c:catAx>
      <c:valAx>
        <c:axId val="7772643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854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600" b="1"/>
              <a:t>Month-on-Month Food Inflation (%) – Jul 2022 to May 2023</a:t>
            </a:r>
            <a:endPara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E0DB1C94-00F0-4C11-80A6-7CED03E547BB}">
          <cx:tx>
            <cx:txData>
              <cx:f>_xlchart.v1.1</cx:f>
              <cx:v>Inflation in % _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Category Contribution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Contribution</a:t>
          </a:r>
        </a:p>
      </cx:txPr>
    </cx:title>
    <cx:plotArea>
      <cx:plotAreaRegion>
        <cx:series layoutId="waterfall" uniqueId="{91D4DC16-220D-4552-9149-8479C97D6932}">
          <cx:tx>
            <cx:txData>
              <cx:f>_xlchart.v1.4</cx:f>
              <cx:v>Inflation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7</xdr:row>
      <xdr:rowOff>138112</xdr:rowOff>
    </xdr:from>
    <xdr:to>
      <xdr:col>12</xdr:col>
      <xdr:colOff>476250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52E33-C345-FC1B-711F-33648E2E8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171450</xdr:colOff>
      <xdr:row>7</xdr:row>
      <xdr:rowOff>138112</xdr:rowOff>
    </xdr:from>
    <xdr:to>
      <xdr:col>12</xdr:col>
      <xdr:colOff>476250</xdr:colOff>
      <xdr:row>21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9E30E-0D06-2A2A-B5FE-7E850E0CF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190500</xdr:colOff>
      <xdr:row>25</xdr:row>
      <xdr:rowOff>14287</xdr:rowOff>
    </xdr:from>
    <xdr:to>
      <xdr:col>12</xdr:col>
      <xdr:colOff>495300</xdr:colOff>
      <xdr:row>39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F609FC-AC4A-504C-D0F2-2E9D2CD41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209550</xdr:colOff>
      <xdr:row>43</xdr:row>
      <xdr:rowOff>185737</xdr:rowOff>
    </xdr:from>
    <xdr:to>
      <xdr:col>12</xdr:col>
      <xdr:colOff>514350</xdr:colOff>
      <xdr:row>58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04BBC9-CCA7-C9A0-C812-26A32CFB7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10</xdr:row>
      <xdr:rowOff>14287</xdr:rowOff>
    </xdr:from>
    <xdr:to>
      <xdr:col>16</xdr:col>
      <xdr:colOff>314325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B3750-57F7-9D06-E770-C4A7DF779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4</xdr:row>
      <xdr:rowOff>157161</xdr:rowOff>
    </xdr:from>
    <xdr:to>
      <xdr:col>20</xdr:col>
      <xdr:colOff>19049</xdr:colOff>
      <xdr:row>21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9DC59C-A34C-8212-0F2D-4910EA23F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9074" y="919161"/>
              <a:ext cx="6715125" cy="3224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16</xdr:row>
      <xdr:rowOff>176212</xdr:rowOff>
    </xdr:from>
    <xdr:to>
      <xdr:col>12</xdr:col>
      <xdr:colOff>238125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D1A6ABD-C451-7158-43D3-87E01C3CC8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8900" y="3233737"/>
              <a:ext cx="5981700" cy="3100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34</xdr:row>
      <xdr:rowOff>166686</xdr:rowOff>
    </xdr:from>
    <xdr:to>
      <xdr:col>15</xdr:col>
      <xdr:colOff>285750</xdr:colOff>
      <xdr:row>46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65896-DE50-C2B0-7B02-C40BB265C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314324</xdr:colOff>
      <xdr:row>45</xdr:row>
      <xdr:rowOff>123825</xdr:rowOff>
    </xdr:from>
    <xdr:to>
      <xdr:col>12</xdr:col>
      <xdr:colOff>733424</xdr:colOff>
      <xdr:row>63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317E5-E4D7-69E4-B01B-AC9980DF4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istrator/Downloads/Cpi%20case%20study%20solution%20Aditiama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53.444694560189" createdVersion="8" refreshedVersion="8" minRefreshableVersion="3" recordCount="372" xr:uid="{CA1AB298-D855-4FB0-8FF6-21DD8B8E0142}">
  <cacheSource type="worksheet">
    <worksheetSource ref="A1:AD373" sheet="Sheet1" r:id="rId2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/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January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s v="January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x v="2"/>
    <x v="0"/>
    <s v="January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x v="0"/>
    <x v="0"/>
    <s v="February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s v="February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x v="2"/>
    <x v="0"/>
    <s v="February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x v="0"/>
    <x v="0"/>
    <s v="March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s v="March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x v="2"/>
    <x v="0"/>
    <s v="March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x v="0"/>
    <x v="0"/>
    <s v="April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s v="April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x v="2"/>
    <x v="0"/>
    <s v="April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x v="0"/>
    <x v="0"/>
    <s v="May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s v="May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x v="2"/>
    <x v="0"/>
    <s v="May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x v="0"/>
    <x v="0"/>
    <s v="June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s v="June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x v="2"/>
    <x v="0"/>
    <s v="June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x v="0"/>
    <x v="0"/>
    <s v="July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s v="July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x v="2"/>
    <x v="0"/>
    <s v="July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x v="0"/>
    <x v="0"/>
    <s v="August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s v="August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x v="2"/>
    <x v="0"/>
    <s v="August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x v="0"/>
    <x v="0"/>
    <s v="September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s v="September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x v="2"/>
    <x v="0"/>
    <s v="September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x v="0"/>
    <x v="0"/>
    <s v="October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s v="October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x v="2"/>
    <x v="0"/>
    <s v="October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x v="0"/>
    <x v="0"/>
    <s v="November 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s v="November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x v="2"/>
    <x v="0"/>
    <s v="November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x v="0"/>
    <x v="0"/>
    <s v="December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s v="December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x v="2"/>
    <x v="0"/>
    <s v="December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x v="0"/>
    <x v="1"/>
    <s v="January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1"/>
    <s v="January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x v="2"/>
    <x v="1"/>
    <s v="January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x v="0"/>
    <x v="1"/>
    <s v="February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1"/>
    <s v="February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x v="2"/>
    <x v="1"/>
    <s v="February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x v="0"/>
    <x v="1"/>
    <s v="March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1"/>
    <s v="March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x v="2"/>
    <x v="1"/>
    <s v="Marcrh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x v="0"/>
    <x v="1"/>
    <s v="April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1"/>
    <s v="April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x v="2"/>
    <x v="1"/>
    <s v="April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x v="0"/>
    <x v="1"/>
    <s v="May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1"/>
    <s v="May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x v="2"/>
    <x v="1"/>
    <s v="May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x v="0"/>
    <x v="1"/>
    <s v="June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1"/>
    <s v="June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x v="2"/>
    <x v="1"/>
    <s v="June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x v="0"/>
    <x v="1"/>
    <s v="July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1"/>
    <s v="July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x v="2"/>
    <x v="1"/>
    <s v="July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x v="0"/>
    <x v="1"/>
    <s v="August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1"/>
    <s v="August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x v="2"/>
    <x v="1"/>
    <s v="August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x v="0"/>
    <x v="1"/>
    <s v="September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1"/>
    <s v="September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x v="2"/>
    <x v="1"/>
    <s v="September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x v="0"/>
    <x v="1"/>
    <s v="October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1"/>
    <s v="October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x v="2"/>
    <x v="1"/>
    <s v="October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x v="0"/>
    <x v="1"/>
    <s v="November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1"/>
    <s v="November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x v="2"/>
    <x v="1"/>
    <s v="November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x v="0"/>
    <x v="1"/>
    <s v="December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1"/>
    <s v="December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x v="2"/>
    <x v="1"/>
    <s v="December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x v="0"/>
    <x v="2"/>
    <s v="January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2"/>
    <s v="January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x v="2"/>
    <x v="2"/>
    <s v="January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x v="0"/>
    <x v="2"/>
    <s v="February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2"/>
    <s v="February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x v="2"/>
    <x v="2"/>
    <s v="February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x v="0"/>
    <x v="2"/>
    <s v="March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2"/>
    <s v="March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x v="2"/>
    <x v="2"/>
    <s v="March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x v="0"/>
    <x v="2"/>
    <s v="April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2"/>
    <s v="April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x v="2"/>
    <x v="2"/>
    <s v="April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x v="0"/>
    <x v="2"/>
    <s v="May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2"/>
    <s v="May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x v="2"/>
    <x v="2"/>
    <s v="May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x v="0"/>
    <x v="2"/>
    <s v="June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2"/>
    <s v="June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x v="2"/>
    <x v="2"/>
    <s v="June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x v="0"/>
    <x v="2"/>
    <s v="July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2"/>
    <s v="July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x v="2"/>
    <x v="2"/>
    <s v="July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x v="0"/>
    <x v="2"/>
    <s v="August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2"/>
    <s v="August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x v="2"/>
    <x v="2"/>
    <s v="August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x v="0"/>
    <x v="2"/>
    <s v="September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2"/>
    <s v="September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x v="2"/>
    <x v="2"/>
    <s v="September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x v="0"/>
    <x v="2"/>
    <s v="October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2"/>
    <s v="October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x v="2"/>
    <x v="2"/>
    <s v="October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x v="0"/>
    <x v="2"/>
    <s v="November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2"/>
    <s v="November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x v="2"/>
    <x v="2"/>
    <s v="November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x v="0"/>
    <x v="2"/>
    <s v="December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2"/>
    <s v="December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x v="2"/>
    <x v="2"/>
    <s v="December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x v="0"/>
    <x v="3"/>
    <s v="January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3"/>
    <s v="January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x v="2"/>
    <x v="3"/>
    <s v="January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x v="0"/>
    <x v="3"/>
    <s v="February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3"/>
    <s v="February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x v="2"/>
    <x v="3"/>
    <s v="February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x v="0"/>
    <x v="3"/>
    <s v="March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3"/>
    <s v="March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x v="2"/>
    <x v="3"/>
    <s v="March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x v="0"/>
    <x v="3"/>
    <s v="April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3"/>
    <s v="April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x v="2"/>
    <x v="3"/>
    <s v="April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x v="0"/>
    <x v="3"/>
    <s v="May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3"/>
    <s v="May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x v="2"/>
    <x v="3"/>
    <s v="May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x v="0"/>
    <x v="3"/>
    <s v="June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3"/>
    <s v="June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x v="2"/>
    <x v="3"/>
    <s v="June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x v="0"/>
    <x v="3"/>
    <s v="July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3"/>
    <s v="July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x v="2"/>
    <x v="3"/>
    <s v="July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x v="0"/>
    <x v="3"/>
    <s v="August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3"/>
    <s v="August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x v="2"/>
    <x v="3"/>
    <s v="August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x v="0"/>
    <x v="3"/>
    <s v="September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3"/>
    <s v="September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x v="2"/>
    <x v="3"/>
    <s v="September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x v="0"/>
    <x v="3"/>
    <s v="October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3"/>
    <s v="October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x v="2"/>
    <x v="3"/>
    <s v="October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x v="0"/>
    <x v="3"/>
    <s v="November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3"/>
    <s v="November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x v="2"/>
    <x v="3"/>
    <s v="November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x v="0"/>
    <x v="3"/>
    <s v="December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3"/>
    <s v="December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x v="2"/>
    <x v="3"/>
    <s v="December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x v="0"/>
    <x v="4"/>
    <s v="January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4"/>
    <s v="January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x v="2"/>
    <x v="4"/>
    <s v="January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x v="0"/>
    <x v="4"/>
    <s v="February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4"/>
    <s v="February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x v="2"/>
    <x v="4"/>
    <s v="February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x v="0"/>
    <x v="4"/>
    <s v="March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4"/>
    <s v="March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x v="2"/>
    <x v="4"/>
    <s v="March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x v="0"/>
    <x v="4"/>
    <s v="April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4"/>
    <s v="April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x v="2"/>
    <x v="4"/>
    <s v="April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x v="0"/>
    <x v="4"/>
    <s v="May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4"/>
    <s v="May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x v="2"/>
    <x v="4"/>
    <s v="May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x v="0"/>
    <x v="4"/>
    <s v="June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4"/>
    <s v="June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x v="2"/>
    <x v="4"/>
    <s v="June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x v="0"/>
    <x v="4"/>
    <s v="July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4"/>
    <s v="July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x v="2"/>
    <x v="4"/>
    <s v="July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x v="0"/>
    <x v="4"/>
    <s v="August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4"/>
    <s v="August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x v="2"/>
    <x v="4"/>
    <s v="August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x v="0"/>
    <x v="4"/>
    <s v="September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4"/>
    <s v="September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x v="2"/>
    <x v="4"/>
    <s v="September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x v="0"/>
    <x v="4"/>
    <s v="October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4"/>
    <s v="October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x v="2"/>
    <x v="4"/>
    <s v="October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x v="0"/>
    <x v="4"/>
    <s v="November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4"/>
    <s v="November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x v="2"/>
    <x v="4"/>
    <s v="November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x v="0"/>
    <x v="4"/>
    <s v="December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4"/>
    <s v="December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x v="2"/>
    <x v="4"/>
    <s v="December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x v="0"/>
    <x v="5"/>
    <s v="January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s v="January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x v="2"/>
    <x v="5"/>
    <s v="January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x v="0"/>
    <x v="5"/>
    <s v="February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5"/>
    <s v="February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x v="2"/>
    <x v="5"/>
    <s v="February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5"/>
    <s v="March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s v="March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x v="2"/>
    <x v="5"/>
    <s v="March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s v="April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5"/>
    <s v="April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s v="April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s v="May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s v="May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x v="2"/>
    <x v="5"/>
    <s v="May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x v="0"/>
    <x v="5"/>
    <s v="June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5"/>
    <s v="June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x v="2"/>
    <x v="5"/>
    <s v="June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x v="0"/>
    <x v="5"/>
    <s v="July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5"/>
    <s v="July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x v="2"/>
    <x v="5"/>
    <s v="July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s v="August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5"/>
    <s v="August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s v="August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x v="0"/>
    <x v="5"/>
    <s v="September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5"/>
    <s v="September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s v="September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s v="October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s v="October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x v="2"/>
    <x v="5"/>
    <s v="October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s v="November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5"/>
    <s v="November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s v="November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s v="December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5"/>
    <s v="December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s v="December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s v="January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6"/>
    <s v="January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6"/>
    <s v="January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6"/>
    <s v="February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6"/>
    <s v="February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x v="2"/>
    <x v="6"/>
    <s v="February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x v="0"/>
    <x v="6"/>
    <s v="March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6"/>
    <s v="March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s v="March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s v="May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6"/>
    <s v="May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x v="2"/>
    <x v="6"/>
    <s v="May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s v="June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s v="June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x v="2"/>
    <x v="6"/>
    <s v="June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x v="0"/>
    <x v="6"/>
    <s v="July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6"/>
    <s v="July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x v="2"/>
    <x v="6"/>
    <s v="July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s v="August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s v="August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x v="2"/>
    <x v="6"/>
    <s v="August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x v="0"/>
    <x v="6"/>
    <s v="September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s v="September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6"/>
    <s v="September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s v="October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s v="October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x v="2"/>
    <x v="6"/>
    <s v="October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x v="0"/>
    <x v="6"/>
    <s v="November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6"/>
    <s v="November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s v="November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s v="December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6"/>
    <s v="December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s v="December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s v="January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7"/>
    <s v="January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x v="2"/>
    <x v="7"/>
    <s v="January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s v="February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7"/>
    <s v="February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7"/>
    <s v="February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s v="March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s v="March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s v="March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s v="April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</r>
  <r>
    <x v="1"/>
    <x v="7"/>
    <s v="April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</r>
  <r>
    <x v="2"/>
    <x v="7"/>
    <s v="April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</r>
  <r>
    <x v="0"/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"/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2"/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0"/>
    <x v="7"/>
    <s v="June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s v="June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s v="June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s v="July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s v="July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s v="July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s v="August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s v="August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s v="August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x v="0"/>
    <x v="7"/>
    <s v="September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7"/>
    <s v="September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x v="2"/>
    <x v="7"/>
    <s v="September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x v="0"/>
    <x v="7"/>
    <s v="October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7"/>
    <s v="October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x v="2"/>
    <x v="7"/>
    <s v="October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x v="0"/>
    <x v="7"/>
    <s v="November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7"/>
    <s v="November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x v="2"/>
    <x v="7"/>
    <s v="November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x v="0"/>
    <x v="7"/>
    <s v="December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7"/>
    <s v="December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x v="2"/>
    <x v="7"/>
    <s v="December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s v="January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8"/>
    <s v="January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x v="2"/>
    <x v="8"/>
    <s v="January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8"/>
    <s v="February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s v="February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8"/>
    <s v="February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x v="0"/>
    <x v="8"/>
    <s v="March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s v="March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x v="2"/>
    <x v="8"/>
    <s v="March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s v="April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8"/>
    <s v="April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x v="2"/>
    <x v="8"/>
    <s v="April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s v="May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8"/>
    <s v="May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x v="2"/>
    <x v="8"/>
    <s v="May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s v="June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8"/>
    <s v="June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x v="2"/>
    <x v="8"/>
    <s v="June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s v="July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8"/>
    <s v="July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s v="July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s v="August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8"/>
    <s v="August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s v="August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x v="0"/>
    <x v="8"/>
    <s v="September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s v="September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s v="September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x v="0"/>
    <x v="8"/>
    <s v="October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8"/>
    <s v="October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s v="October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x v="0"/>
    <x v="8"/>
    <s v="November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8"/>
    <s v="November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s v="November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s v="December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8"/>
    <s v="December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x v="2"/>
    <x v="8"/>
    <s v="December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x v="0"/>
    <x v="9"/>
    <s v="January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9"/>
    <s v="January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x v="2"/>
    <x v="9"/>
    <s v="January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x v="0"/>
    <x v="9"/>
    <s v="February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9"/>
    <s v="February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x v="2"/>
    <x v="9"/>
    <s v="February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x v="0"/>
    <x v="9"/>
    <s v="March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9"/>
    <s v="March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x v="2"/>
    <x v="9"/>
    <s v="March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x v="0"/>
    <x v="9"/>
    <s v="April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9"/>
    <s v="April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x v="2"/>
    <x v="9"/>
    <s v="April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x v="0"/>
    <x v="9"/>
    <s v="May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9"/>
    <s v="May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x v="2"/>
    <x v="9"/>
    <s v="May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x v="0"/>
    <x v="9"/>
    <s v="June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9"/>
    <s v="June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x v="2"/>
    <x v="9"/>
    <s v="June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x v="0"/>
    <x v="9"/>
    <s v="July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9"/>
    <s v="July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x v="2"/>
    <x v="9"/>
    <s v="July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x v="0"/>
    <x v="9"/>
    <s v="August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9"/>
    <s v="August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x v="2"/>
    <x v="9"/>
    <s v="August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x v="0"/>
    <x v="9"/>
    <s v="September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9"/>
    <s v="September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x v="2"/>
    <x v="9"/>
    <s v="September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x v="0"/>
    <x v="9"/>
    <s v="October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9"/>
    <s v="October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x v="2"/>
    <x v="9"/>
    <s v="October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x v="0"/>
    <x v="9"/>
    <s v="November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9"/>
    <s v="November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x v="2"/>
    <x v="9"/>
    <s v="November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x v="0"/>
    <x v="9"/>
    <s v="December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9"/>
    <s v="December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x v="2"/>
    <x v="9"/>
    <s v="December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x v="0"/>
    <x v="10"/>
    <s v="January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0"/>
    <s v="January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x v="2"/>
    <x v="10"/>
    <s v="January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x v="0"/>
    <x v="10"/>
    <s v="February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0"/>
    <s v="February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x v="2"/>
    <x v="10"/>
    <s v="February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x v="0"/>
    <x v="10"/>
    <s v="March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0"/>
    <s v="March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x v="2"/>
    <x v="10"/>
    <s v="March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x v="0"/>
    <x v="10"/>
    <s v="April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0"/>
    <s v="April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x v="2"/>
    <x v="10"/>
    <s v="April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x v="0"/>
    <x v="10"/>
    <s v="May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  <r>
    <x v="1"/>
    <x v="10"/>
    <s v="May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x v="2"/>
    <x v="10"/>
    <s v="May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5F172-2F62-4B49-8645-D9DE98DDD4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Year">
  <location ref="B11:C23" firstHeaderRow="1" firstDataRow="1" firstDataCol="1" rowPageCount="1" colPageCount="1"/>
  <pivotFields count="30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Average of General index" fld="29" subtotal="average" baseField="1" baseItem="0"/>
  </dataFields>
  <formats count="16"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7EBC-1D09-46F4-AE28-08CBA5489739}">
  <dimension ref="A1:AD373"/>
  <sheetViews>
    <sheetView workbookViewId="0">
      <selection activeCell="F263" sqref="F263"/>
    </sheetView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sheetProtection algorithmName="SHA-512" hashValue="46s01QWlM+3ZD6lmiPXjNe5xV+m9dUeirccMM3SeYv8aID9HvlTZh9kuyUyvc6BaVojv+HzZ1pKoEMjhGxdNEw==" saltValue="w75RExKelJdDK9irXvTdE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5E7E-3FCF-4A57-AF86-325A1B82E6A4}">
  <dimension ref="A1:AD373"/>
  <sheetViews>
    <sheetView workbookViewId="0">
      <selection activeCell="E101" sqref="E101"/>
    </sheetView>
  </sheetViews>
  <sheetFormatPr defaultRowHeight="15"/>
  <cols>
    <col min="1" max="1" width="11.85546875" bestFit="1" customWidth="1"/>
    <col min="2" max="2" width="5" bestFit="1" customWidth="1"/>
    <col min="3" max="3" width="10.85546875" bestFit="1" customWidth="1"/>
    <col min="4" max="4" width="19.7109375" bestFit="1" customWidth="1"/>
    <col min="5" max="5" width="13.28515625" bestFit="1" customWidth="1"/>
    <col min="6" max="6" width="8" bestFit="1" customWidth="1"/>
    <col min="7" max="7" width="17" bestFit="1" customWidth="1"/>
    <col min="8" max="8" width="11.85546875" bestFit="1" customWidth="1"/>
    <col min="9" max="9" width="8" bestFit="1" customWidth="1"/>
    <col min="10" max="10" width="11" bestFit="1" customWidth="1"/>
    <col min="11" max="11" width="18.85546875" bestFit="1" customWidth="1"/>
    <col min="12" max="12" width="23" bestFit="1" customWidth="1"/>
    <col min="13" max="13" width="8" bestFit="1" customWidth="1"/>
    <col min="14" max="14" width="23.28515625" bestFit="1" customWidth="1"/>
    <col min="15" max="15" width="33.28515625" bestFit="1" customWidth="1"/>
    <col min="16" max="16" width="19" bestFit="1" customWidth="1"/>
    <col min="17" max="17" width="26.5703125" bestFit="1" customWidth="1"/>
    <col min="18" max="18" width="12" bestFit="1" customWidth="1"/>
    <col min="19" max="19" width="9.42578125" bestFit="1" customWidth="1"/>
    <col min="20" max="20" width="21" bestFit="1" customWidth="1"/>
    <col min="21" max="21" width="8.140625" bestFit="1" customWidth="1"/>
    <col min="22" max="22" width="13.140625" bestFit="1" customWidth="1"/>
    <col min="23" max="23" width="28.140625" bestFit="1" customWidth="1"/>
    <col min="24" max="24" width="8" bestFit="1" customWidth="1"/>
    <col min="25" max="25" width="27.85546875" bestFit="1" customWidth="1"/>
    <col min="26" max="26" width="25.85546875" bestFit="1" customWidth="1"/>
    <col min="27" max="27" width="12" bestFit="1" customWidth="1"/>
    <col min="28" max="28" width="23.5703125" bestFit="1" customWidth="1"/>
    <col min="29" max="29" width="14" bestFit="1" customWidth="1"/>
    <col min="30" max="30" width="13.7109375" bestFit="1" customWidth="1"/>
  </cols>
  <sheetData>
    <row r="1" spans="1:30" ht="20.25" customHeight="1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16</v>
      </c>
      <c r="R1" s="73" t="s">
        <v>17</v>
      </c>
      <c r="S1" s="73" t="s">
        <v>18</v>
      </c>
      <c r="T1" s="73" t="s">
        <v>19</v>
      </c>
      <c r="U1" s="73" t="s">
        <v>20</v>
      </c>
      <c r="V1" s="73" t="s">
        <v>21</v>
      </c>
      <c r="W1" s="73" t="s">
        <v>22</v>
      </c>
      <c r="X1" s="73" t="s">
        <v>23</v>
      </c>
      <c r="Y1" s="73" t="s">
        <v>24</v>
      </c>
      <c r="Z1" s="73" t="s">
        <v>25</v>
      </c>
      <c r="AA1" s="73" t="s">
        <v>26</v>
      </c>
      <c r="AB1" s="73" t="s">
        <v>27</v>
      </c>
      <c r="AC1" s="73" t="s">
        <v>28</v>
      </c>
      <c r="AD1" s="73" t="s">
        <v>29</v>
      </c>
    </row>
    <row r="2" spans="1:30">
      <c r="A2" s="64" t="s">
        <v>30</v>
      </c>
      <c r="B2" s="64">
        <v>2013</v>
      </c>
      <c r="C2" s="64" t="s">
        <v>31</v>
      </c>
      <c r="D2" s="64">
        <v>107.5</v>
      </c>
      <c r="E2" s="64">
        <v>106.3</v>
      </c>
      <c r="F2" s="64">
        <v>108.1</v>
      </c>
      <c r="G2" s="64">
        <v>104.9</v>
      </c>
      <c r="H2" s="64">
        <v>106.1</v>
      </c>
      <c r="I2" s="64">
        <v>103.9</v>
      </c>
      <c r="J2" s="64">
        <v>101.9</v>
      </c>
      <c r="K2" s="64">
        <v>106.1</v>
      </c>
      <c r="L2" s="64">
        <v>106.8</v>
      </c>
      <c r="M2" s="64">
        <v>103.1</v>
      </c>
      <c r="N2" s="64">
        <v>104.8</v>
      </c>
      <c r="O2" s="64">
        <v>106.7</v>
      </c>
      <c r="P2" s="64">
        <v>105.5</v>
      </c>
      <c r="Q2" s="64">
        <v>105.1</v>
      </c>
      <c r="R2" s="64">
        <v>106.5</v>
      </c>
      <c r="S2" s="64">
        <v>105.8</v>
      </c>
      <c r="T2" s="64">
        <v>106.4</v>
      </c>
      <c r="U2" s="64">
        <v>100.3</v>
      </c>
      <c r="V2" s="64">
        <v>105.5</v>
      </c>
      <c r="W2" s="64">
        <v>104.8</v>
      </c>
      <c r="X2" s="64">
        <v>104</v>
      </c>
      <c r="Y2" s="64">
        <v>103.3</v>
      </c>
      <c r="Z2" s="64">
        <v>103.4</v>
      </c>
      <c r="AA2" s="64">
        <v>103.8</v>
      </c>
      <c r="AB2" s="64">
        <v>104.7</v>
      </c>
      <c r="AC2" s="64">
        <v>104</v>
      </c>
      <c r="AD2" s="64">
        <v>105.1</v>
      </c>
    </row>
    <row r="3" spans="1:30">
      <c r="A3" s="64" t="s">
        <v>33</v>
      </c>
      <c r="B3" s="64">
        <v>2013</v>
      </c>
      <c r="C3" s="64" t="s">
        <v>31</v>
      </c>
      <c r="D3" s="64">
        <v>110.5</v>
      </c>
      <c r="E3" s="64">
        <v>109.1</v>
      </c>
      <c r="F3" s="64">
        <v>113</v>
      </c>
      <c r="G3" s="64">
        <v>103.6</v>
      </c>
      <c r="H3" s="64">
        <v>103.4</v>
      </c>
      <c r="I3" s="64">
        <v>102.3</v>
      </c>
      <c r="J3" s="64">
        <v>102.9</v>
      </c>
      <c r="K3" s="64">
        <v>105.8</v>
      </c>
      <c r="L3" s="64">
        <v>105.1</v>
      </c>
      <c r="M3" s="64">
        <v>101.8</v>
      </c>
      <c r="N3" s="64">
        <v>105.1</v>
      </c>
      <c r="O3" s="64">
        <v>107.9</v>
      </c>
      <c r="P3" s="64">
        <v>105.9</v>
      </c>
      <c r="Q3" s="64">
        <v>105.2</v>
      </c>
      <c r="R3" s="64">
        <v>105.9</v>
      </c>
      <c r="S3" s="64">
        <v>105</v>
      </c>
      <c r="T3" s="64">
        <v>105.8</v>
      </c>
      <c r="U3" s="64">
        <v>100.4</v>
      </c>
      <c r="V3" s="64">
        <v>105.4</v>
      </c>
      <c r="W3" s="64">
        <v>104.8</v>
      </c>
      <c r="X3" s="64">
        <v>104.1</v>
      </c>
      <c r="Y3" s="64">
        <v>103.2</v>
      </c>
      <c r="Z3" s="64">
        <v>102.9</v>
      </c>
      <c r="AA3" s="64">
        <v>103.5</v>
      </c>
      <c r="AB3" s="64">
        <v>104.3</v>
      </c>
      <c r="AC3" s="64">
        <v>103.7</v>
      </c>
      <c r="AD3" s="64">
        <v>104</v>
      </c>
    </row>
    <row r="4" spans="1:30">
      <c r="A4" s="64" t="s">
        <v>34</v>
      </c>
      <c r="B4" s="64">
        <v>2013</v>
      </c>
      <c r="C4" s="64" t="s">
        <v>31</v>
      </c>
      <c r="D4" s="64">
        <v>108.4</v>
      </c>
      <c r="E4" s="64">
        <v>107.3</v>
      </c>
      <c r="F4" s="64">
        <v>110</v>
      </c>
      <c r="G4" s="64">
        <v>104.4</v>
      </c>
      <c r="H4" s="64">
        <v>105.1</v>
      </c>
      <c r="I4" s="64">
        <v>103.2</v>
      </c>
      <c r="J4" s="64">
        <v>102.2</v>
      </c>
      <c r="K4" s="64">
        <v>106</v>
      </c>
      <c r="L4" s="64">
        <v>106.2</v>
      </c>
      <c r="M4" s="64">
        <v>102.7</v>
      </c>
      <c r="N4" s="64">
        <v>104.9</v>
      </c>
      <c r="O4" s="64">
        <v>107.3</v>
      </c>
      <c r="P4" s="64">
        <v>105.6</v>
      </c>
      <c r="Q4" s="64">
        <v>105.1</v>
      </c>
      <c r="R4" s="64">
        <v>106.3</v>
      </c>
      <c r="S4" s="64">
        <v>105.5</v>
      </c>
      <c r="T4" s="64">
        <v>106.2</v>
      </c>
      <c r="U4" s="64">
        <v>100.4</v>
      </c>
      <c r="V4" s="64">
        <v>105.5</v>
      </c>
      <c r="W4" s="64">
        <v>104.8</v>
      </c>
      <c r="X4" s="64">
        <v>104</v>
      </c>
      <c r="Y4" s="64">
        <v>103.2</v>
      </c>
      <c r="Z4" s="64">
        <v>103.1</v>
      </c>
      <c r="AA4" s="64">
        <v>103.6</v>
      </c>
      <c r="AB4" s="64">
        <v>104.5</v>
      </c>
      <c r="AC4" s="64">
        <v>103.9</v>
      </c>
      <c r="AD4" s="64">
        <v>104.6</v>
      </c>
    </row>
    <row r="5" spans="1:30">
      <c r="A5" s="64" t="s">
        <v>30</v>
      </c>
      <c r="B5" s="64">
        <v>2013</v>
      </c>
      <c r="C5" s="64" t="s">
        <v>35</v>
      </c>
      <c r="D5" s="64">
        <v>109.2</v>
      </c>
      <c r="E5" s="64">
        <v>108.7</v>
      </c>
      <c r="F5" s="64">
        <v>110.2</v>
      </c>
      <c r="G5" s="64">
        <v>105.4</v>
      </c>
      <c r="H5" s="64">
        <v>106.7</v>
      </c>
      <c r="I5" s="64">
        <v>104</v>
      </c>
      <c r="J5" s="64">
        <v>102.4</v>
      </c>
      <c r="K5" s="64">
        <v>105.9</v>
      </c>
      <c r="L5" s="64">
        <v>105.7</v>
      </c>
      <c r="M5" s="64">
        <v>103.1</v>
      </c>
      <c r="N5" s="64">
        <v>105.1</v>
      </c>
      <c r="O5" s="64">
        <v>107.7</v>
      </c>
      <c r="P5" s="64">
        <v>106.3</v>
      </c>
      <c r="Q5" s="64">
        <v>105.6</v>
      </c>
      <c r="R5" s="64">
        <v>107.1</v>
      </c>
      <c r="S5" s="64">
        <v>106.3</v>
      </c>
      <c r="T5" s="64">
        <v>107</v>
      </c>
      <c r="U5" s="64">
        <v>100.4</v>
      </c>
      <c r="V5" s="64">
        <v>106.2</v>
      </c>
      <c r="W5" s="64">
        <v>105.2</v>
      </c>
      <c r="X5" s="64">
        <v>104.4</v>
      </c>
      <c r="Y5" s="64">
        <v>103.9</v>
      </c>
      <c r="Z5" s="64">
        <v>104</v>
      </c>
      <c r="AA5" s="64">
        <v>104.1</v>
      </c>
      <c r="AB5" s="64">
        <v>104.6</v>
      </c>
      <c r="AC5" s="64">
        <v>104.4</v>
      </c>
      <c r="AD5" s="64">
        <v>105.8</v>
      </c>
    </row>
    <row r="6" spans="1:30">
      <c r="A6" s="64" t="s">
        <v>33</v>
      </c>
      <c r="B6" s="64">
        <v>2013</v>
      </c>
      <c r="C6" s="64" t="s">
        <v>35</v>
      </c>
      <c r="D6" s="64">
        <v>112.9</v>
      </c>
      <c r="E6" s="64">
        <v>112.9</v>
      </c>
      <c r="F6" s="64">
        <v>116.9</v>
      </c>
      <c r="G6" s="64">
        <v>104</v>
      </c>
      <c r="H6" s="64">
        <v>103.5</v>
      </c>
      <c r="I6" s="64">
        <v>103.1</v>
      </c>
      <c r="J6" s="64">
        <v>104.9</v>
      </c>
      <c r="K6" s="64">
        <v>104.1</v>
      </c>
      <c r="L6" s="64">
        <v>103.8</v>
      </c>
      <c r="M6" s="64">
        <v>102.3</v>
      </c>
      <c r="N6" s="64">
        <v>106</v>
      </c>
      <c r="O6" s="64">
        <v>109</v>
      </c>
      <c r="P6" s="64">
        <v>107.2</v>
      </c>
      <c r="Q6" s="64">
        <v>106</v>
      </c>
      <c r="R6" s="64">
        <v>106.6</v>
      </c>
      <c r="S6" s="64">
        <v>105.5</v>
      </c>
      <c r="T6" s="64">
        <v>106.4</v>
      </c>
      <c r="U6" s="64">
        <v>100.5</v>
      </c>
      <c r="V6" s="64">
        <v>105.7</v>
      </c>
      <c r="W6" s="64">
        <v>105.2</v>
      </c>
      <c r="X6" s="64">
        <v>104.7</v>
      </c>
      <c r="Y6" s="64">
        <v>104.4</v>
      </c>
      <c r="Z6" s="64">
        <v>103.3</v>
      </c>
      <c r="AA6" s="64">
        <v>103.7</v>
      </c>
      <c r="AB6" s="64">
        <v>104.3</v>
      </c>
      <c r="AC6" s="64">
        <v>104.3</v>
      </c>
      <c r="AD6" s="64">
        <v>104.7</v>
      </c>
    </row>
    <row r="7" spans="1:30">
      <c r="A7" s="64" t="s">
        <v>34</v>
      </c>
      <c r="B7" s="64">
        <v>2013</v>
      </c>
      <c r="C7" s="64" t="s">
        <v>35</v>
      </c>
      <c r="D7" s="64">
        <v>110.4</v>
      </c>
      <c r="E7" s="64">
        <v>110.2</v>
      </c>
      <c r="F7" s="64">
        <v>112.8</v>
      </c>
      <c r="G7" s="64">
        <v>104.9</v>
      </c>
      <c r="H7" s="64">
        <v>105.5</v>
      </c>
      <c r="I7" s="64">
        <v>103.6</v>
      </c>
      <c r="J7" s="64">
        <v>103.2</v>
      </c>
      <c r="K7" s="64">
        <v>105.3</v>
      </c>
      <c r="L7" s="64">
        <v>105.1</v>
      </c>
      <c r="M7" s="64">
        <v>102.8</v>
      </c>
      <c r="N7" s="64">
        <v>105.5</v>
      </c>
      <c r="O7" s="64">
        <v>108.3</v>
      </c>
      <c r="P7" s="64">
        <v>106.6</v>
      </c>
      <c r="Q7" s="64">
        <v>105.7</v>
      </c>
      <c r="R7" s="64">
        <v>106.9</v>
      </c>
      <c r="S7" s="64">
        <v>106</v>
      </c>
      <c r="T7" s="64">
        <v>106.8</v>
      </c>
      <c r="U7" s="64">
        <v>106.6</v>
      </c>
      <c r="V7" s="64">
        <v>106</v>
      </c>
      <c r="W7" s="64">
        <v>105.2</v>
      </c>
      <c r="X7" s="64">
        <v>104.5</v>
      </c>
      <c r="Y7" s="64">
        <v>104.2</v>
      </c>
      <c r="Z7" s="64">
        <v>103.6</v>
      </c>
      <c r="AA7" s="64">
        <v>103.9</v>
      </c>
      <c r="AB7" s="64">
        <v>104.5</v>
      </c>
      <c r="AC7" s="64">
        <v>104.4</v>
      </c>
      <c r="AD7" s="64">
        <v>105.3</v>
      </c>
    </row>
    <row r="8" spans="1:30">
      <c r="A8" s="64" t="s">
        <v>30</v>
      </c>
      <c r="B8" s="64">
        <v>2013</v>
      </c>
      <c r="C8" s="64" t="s">
        <v>36</v>
      </c>
      <c r="D8" s="64">
        <v>110.2</v>
      </c>
      <c r="E8" s="64">
        <v>108.8</v>
      </c>
      <c r="F8" s="64">
        <v>109.9</v>
      </c>
      <c r="G8" s="64">
        <v>105.6</v>
      </c>
      <c r="H8" s="64">
        <v>106.2</v>
      </c>
      <c r="I8" s="64">
        <v>105.7</v>
      </c>
      <c r="J8" s="64">
        <v>101.4</v>
      </c>
      <c r="K8" s="64">
        <v>105.7</v>
      </c>
      <c r="L8" s="64">
        <v>105</v>
      </c>
      <c r="M8" s="64">
        <v>103.3</v>
      </c>
      <c r="N8" s="64">
        <v>105.6</v>
      </c>
      <c r="O8" s="64">
        <v>108.2</v>
      </c>
      <c r="P8" s="64">
        <v>106.6</v>
      </c>
      <c r="Q8" s="64">
        <v>106.5</v>
      </c>
      <c r="R8" s="64">
        <v>107.6</v>
      </c>
      <c r="S8" s="64">
        <v>106.8</v>
      </c>
      <c r="T8" s="64">
        <v>107.5</v>
      </c>
      <c r="U8" s="64">
        <v>100.4</v>
      </c>
      <c r="V8" s="64">
        <v>106.1</v>
      </c>
      <c r="W8" s="64">
        <v>105.6</v>
      </c>
      <c r="X8" s="64">
        <v>104.7</v>
      </c>
      <c r="Y8" s="64">
        <v>104.6</v>
      </c>
      <c r="Z8" s="64">
        <v>104</v>
      </c>
      <c r="AA8" s="64">
        <v>104.3</v>
      </c>
      <c r="AB8" s="64">
        <v>104.3</v>
      </c>
      <c r="AC8" s="64">
        <v>104.6</v>
      </c>
      <c r="AD8" s="64">
        <v>106</v>
      </c>
    </row>
    <row r="9" spans="1:30">
      <c r="A9" s="64" t="s">
        <v>33</v>
      </c>
      <c r="B9" s="64">
        <v>2013</v>
      </c>
      <c r="C9" s="64" t="s">
        <v>36</v>
      </c>
      <c r="D9" s="64">
        <v>113.9</v>
      </c>
      <c r="E9" s="64">
        <v>111.4</v>
      </c>
      <c r="F9" s="64">
        <v>113.2</v>
      </c>
      <c r="G9" s="64">
        <v>104.3</v>
      </c>
      <c r="H9" s="64">
        <v>102.7</v>
      </c>
      <c r="I9" s="64">
        <v>104.9</v>
      </c>
      <c r="J9" s="64">
        <v>103.8</v>
      </c>
      <c r="K9" s="64">
        <v>103.5</v>
      </c>
      <c r="L9" s="64">
        <v>102.6</v>
      </c>
      <c r="M9" s="64">
        <v>102.4</v>
      </c>
      <c r="N9" s="64">
        <v>107</v>
      </c>
      <c r="O9" s="64">
        <v>109.8</v>
      </c>
      <c r="P9" s="64">
        <v>107.3</v>
      </c>
      <c r="Q9" s="64">
        <v>106.8</v>
      </c>
      <c r="R9" s="64">
        <v>107.2</v>
      </c>
      <c r="S9" s="64">
        <v>106</v>
      </c>
      <c r="T9" s="64">
        <v>107</v>
      </c>
      <c r="U9" s="64">
        <v>108.9</v>
      </c>
      <c r="V9" s="64">
        <v>106</v>
      </c>
      <c r="W9" s="64">
        <v>105.7</v>
      </c>
      <c r="X9" s="64">
        <v>105.2</v>
      </c>
      <c r="Y9" s="64">
        <v>105.5</v>
      </c>
      <c r="Z9" s="64">
        <v>103.5</v>
      </c>
      <c r="AA9" s="64">
        <v>103.8</v>
      </c>
      <c r="AB9" s="64">
        <v>104.2</v>
      </c>
      <c r="AC9" s="64">
        <v>104.9</v>
      </c>
      <c r="AD9" s="64">
        <v>105</v>
      </c>
    </row>
    <row r="10" spans="1:30">
      <c r="A10" s="64" t="s">
        <v>34</v>
      </c>
      <c r="B10" s="64">
        <v>2013</v>
      </c>
      <c r="C10" s="64" t="s">
        <v>36</v>
      </c>
      <c r="D10" s="64">
        <v>111.4</v>
      </c>
      <c r="E10" s="64">
        <v>109.7</v>
      </c>
      <c r="F10" s="64">
        <v>111.2</v>
      </c>
      <c r="G10" s="64">
        <v>105.1</v>
      </c>
      <c r="H10" s="64">
        <v>104.9</v>
      </c>
      <c r="I10" s="64">
        <v>105.3</v>
      </c>
      <c r="J10" s="64">
        <v>102.2</v>
      </c>
      <c r="K10" s="64">
        <v>105</v>
      </c>
      <c r="L10" s="64">
        <v>104.2</v>
      </c>
      <c r="M10" s="64">
        <v>103</v>
      </c>
      <c r="N10" s="64">
        <v>106.2</v>
      </c>
      <c r="O10" s="64">
        <v>108.9</v>
      </c>
      <c r="P10" s="64">
        <v>106.9</v>
      </c>
      <c r="Q10" s="64">
        <v>106.6</v>
      </c>
      <c r="R10" s="64">
        <v>107.4</v>
      </c>
      <c r="S10" s="64">
        <v>106.5</v>
      </c>
      <c r="T10" s="64">
        <v>107.3</v>
      </c>
      <c r="U10" s="64">
        <v>109.7</v>
      </c>
      <c r="V10" s="64">
        <v>106.1</v>
      </c>
      <c r="W10" s="64">
        <v>105.6</v>
      </c>
      <c r="X10" s="64">
        <v>104.9</v>
      </c>
      <c r="Y10" s="64">
        <v>105.1</v>
      </c>
      <c r="Z10" s="64">
        <v>103.7</v>
      </c>
      <c r="AA10" s="64">
        <v>104</v>
      </c>
      <c r="AB10" s="64">
        <v>104.3</v>
      </c>
      <c r="AC10" s="64">
        <v>104.7</v>
      </c>
      <c r="AD10" s="64">
        <v>105.5</v>
      </c>
    </row>
    <row r="11" spans="1:30">
      <c r="A11" s="64" t="s">
        <v>30</v>
      </c>
      <c r="B11" s="64">
        <v>2013</v>
      </c>
      <c r="C11" s="64" t="s">
        <v>37</v>
      </c>
      <c r="D11" s="64">
        <v>110.2</v>
      </c>
      <c r="E11" s="64">
        <v>109.5</v>
      </c>
      <c r="F11" s="64">
        <v>106.9</v>
      </c>
      <c r="G11" s="64">
        <v>106.3</v>
      </c>
      <c r="H11" s="64">
        <v>105.7</v>
      </c>
      <c r="I11" s="64">
        <v>108.3</v>
      </c>
      <c r="J11" s="64">
        <v>103.4</v>
      </c>
      <c r="K11" s="64">
        <v>105.7</v>
      </c>
      <c r="L11" s="64">
        <v>104.2</v>
      </c>
      <c r="M11" s="64">
        <v>103.2</v>
      </c>
      <c r="N11" s="64">
        <v>106.5</v>
      </c>
      <c r="O11" s="64">
        <v>108.8</v>
      </c>
      <c r="P11" s="64">
        <v>107.1</v>
      </c>
      <c r="Q11" s="64">
        <v>107.1</v>
      </c>
      <c r="R11" s="64">
        <v>108.1</v>
      </c>
      <c r="S11" s="64">
        <v>107.4</v>
      </c>
      <c r="T11" s="64">
        <v>108</v>
      </c>
      <c r="U11" s="64">
        <v>100.5</v>
      </c>
      <c r="V11" s="64">
        <v>106.5</v>
      </c>
      <c r="W11" s="64">
        <v>106.1</v>
      </c>
      <c r="X11" s="64">
        <v>105.1</v>
      </c>
      <c r="Y11" s="64">
        <v>104.4</v>
      </c>
      <c r="Z11" s="64">
        <v>104.5</v>
      </c>
      <c r="AA11" s="64">
        <v>104.8</v>
      </c>
      <c r="AB11" s="64">
        <v>102.7</v>
      </c>
      <c r="AC11" s="64">
        <v>104.6</v>
      </c>
      <c r="AD11" s="64">
        <v>106.4</v>
      </c>
    </row>
    <row r="12" spans="1:30">
      <c r="A12" s="64" t="s">
        <v>33</v>
      </c>
      <c r="B12" s="64">
        <v>2013</v>
      </c>
      <c r="C12" s="64" t="s">
        <v>37</v>
      </c>
      <c r="D12" s="64">
        <v>114.6</v>
      </c>
      <c r="E12" s="64">
        <v>113.4</v>
      </c>
      <c r="F12" s="64">
        <v>106</v>
      </c>
      <c r="G12" s="64">
        <v>104.7</v>
      </c>
      <c r="H12" s="64">
        <v>102.1</v>
      </c>
      <c r="I12" s="64">
        <v>109.5</v>
      </c>
      <c r="J12" s="64">
        <v>109.7</v>
      </c>
      <c r="K12" s="64">
        <v>104.6</v>
      </c>
      <c r="L12" s="64">
        <v>102</v>
      </c>
      <c r="M12" s="64">
        <v>103.5</v>
      </c>
      <c r="N12" s="64">
        <v>108.2</v>
      </c>
      <c r="O12" s="64">
        <v>110.6</v>
      </c>
      <c r="P12" s="64">
        <v>108.8</v>
      </c>
      <c r="Q12" s="64">
        <v>108.5</v>
      </c>
      <c r="R12" s="64">
        <v>107.9</v>
      </c>
      <c r="S12" s="64">
        <v>106.4</v>
      </c>
      <c r="T12" s="64">
        <v>107.7</v>
      </c>
      <c r="U12" s="64">
        <v>100.5</v>
      </c>
      <c r="V12" s="64">
        <v>106.4</v>
      </c>
      <c r="W12" s="64">
        <v>106.5</v>
      </c>
      <c r="X12" s="64">
        <v>105.7</v>
      </c>
      <c r="Y12" s="64">
        <v>105</v>
      </c>
      <c r="Z12" s="64">
        <v>104</v>
      </c>
      <c r="AA12" s="64">
        <v>105.2</v>
      </c>
      <c r="AB12" s="64">
        <v>103.2</v>
      </c>
      <c r="AC12" s="64">
        <v>105.1</v>
      </c>
      <c r="AD12" s="64">
        <v>105.7</v>
      </c>
    </row>
    <row r="13" spans="1:30">
      <c r="A13" s="64" t="s">
        <v>34</v>
      </c>
      <c r="B13" s="64">
        <v>2013</v>
      </c>
      <c r="C13" s="64" t="s">
        <v>37</v>
      </c>
      <c r="D13" s="64">
        <v>111.6</v>
      </c>
      <c r="E13" s="64">
        <v>110.9</v>
      </c>
      <c r="F13" s="64">
        <v>106.6</v>
      </c>
      <c r="G13" s="64">
        <v>105.7</v>
      </c>
      <c r="H13" s="64">
        <v>104.4</v>
      </c>
      <c r="I13" s="64">
        <v>108.9</v>
      </c>
      <c r="J13" s="64">
        <v>105.5</v>
      </c>
      <c r="K13" s="64">
        <v>105.3</v>
      </c>
      <c r="L13" s="64">
        <v>103.5</v>
      </c>
      <c r="M13" s="64">
        <v>103.3</v>
      </c>
      <c r="N13" s="64">
        <v>107.2</v>
      </c>
      <c r="O13" s="64">
        <v>109.6</v>
      </c>
      <c r="P13" s="64">
        <v>107.7</v>
      </c>
      <c r="Q13" s="64">
        <v>107.5</v>
      </c>
      <c r="R13" s="64">
        <v>108</v>
      </c>
      <c r="S13" s="64">
        <v>107</v>
      </c>
      <c r="T13" s="64">
        <v>107.9</v>
      </c>
      <c r="U13" s="64">
        <v>100.5</v>
      </c>
      <c r="V13" s="64">
        <v>106.5</v>
      </c>
      <c r="W13" s="64">
        <v>106.3</v>
      </c>
      <c r="X13" s="64">
        <v>105.3</v>
      </c>
      <c r="Y13" s="64">
        <v>104.7</v>
      </c>
      <c r="Z13" s="64">
        <v>104.2</v>
      </c>
      <c r="AA13" s="64">
        <v>105</v>
      </c>
      <c r="AB13" s="64">
        <v>102.9</v>
      </c>
      <c r="AC13" s="64">
        <v>104.8</v>
      </c>
      <c r="AD13" s="64">
        <v>106.1</v>
      </c>
    </row>
    <row r="14" spans="1:30">
      <c r="A14" s="64" t="s">
        <v>30</v>
      </c>
      <c r="B14" s="64">
        <v>2013</v>
      </c>
      <c r="C14" s="64" t="s">
        <v>38</v>
      </c>
      <c r="D14" s="64">
        <v>110.9</v>
      </c>
      <c r="E14" s="64">
        <v>109.8</v>
      </c>
      <c r="F14" s="64">
        <v>105.9</v>
      </c>
      <c r="G14" s="64">
        <v>107.5</v>
      </c>
      <c r="H14" s="64">
        <v>105.3</v>
      </c>
      <c r="I14" s="64">
        <v>108.1</v>
      </c>
      <c r="J14" s="64">
        <v>107.3</v>
      </c>
      <c r="K14" s="64">
        <v>106.1</v>
      </c>
      <c r="L14" s="64">
        <v>103.7</v>
      </c>
      <c r="M14" s="64">
        <v>104</v>
      </c>
      <c r="N14" s="64">
        <v>107.4</v>
      </c>
      <c r="O14" s="64">
        <v>109.9</v>
      </c>
      <c r="P14" s="64">
        <v>108.1</v>
      </c>
      <c r="Q14" s="64">
        <v>108.1</v>
      </c>
      <c r="R14" s="64">
        <v>108.8</v>
      </c>
      <c r="S14" s="64">
        <v>107.9</v>
      </c>
      <c r="T14" s="64">
        <v>108.6</v>
      </c>
      <c r="U14" s="64">
        <v>100.5</v>
      </c>
      <c r="V14" s="64">
        <v>107.5</v>
      </c>
      <c r="W14" s="64">
        <v>106.8</v>
      </c>
      <c r="X14" s="64">
        <v>105.7</v>
      </c>
      <c r="Y14" s="64">
        <v>104.1</v>
      </c>
      <c r="Z14" s="64">
        <v>105</v>
      </c>
      <c r="AA14" s="64">
        <v>105.5</v>
      </c>
      <c r="AB14" s="64">
        <v>102.1</v>
      </c>
      <c r="AC14" s="64">
        <v>104.8</v>
      </c>
      <c r="AD14" s="64">
        <v>107.2</v>
      </c>
    </row>
    <row r="15" spans="1:30">
      <c r="A15" s="64" t="s">
        <v>33</v>
      </c>
      <c r="B15" s="64">
        <v>2013</v>
      </c>
      <c r="C15" s="64" t="s">
        <v>38</v>
      </c>
      <c r="D15" s="64">
        <v>115.4</v>
      </c>
      <c r="E15" s="64">
        <v>114.2</v>
      </c>
      <c r="F15" s="64">
        <v>102.7</v>
      </c>
      <c r="G15" s="64">
        <v>105.5</v>
      </c>
      <c r="H15" s="64">
        <v>101.5</v>
      </c>
      <c r="I15" s="64">
        <v>110.6</v>
      </c>
      <c r="J15" s="64">
        <v>123.7</v>
      </c>
      <c r="K15" s="64">
        <v>105.2</v>
      </c>
      <c r="L15" s="64">
        <v>101.9</v>
      </c>
      <c r="M15" s="64">
        <v>105</v>
      </c>
      <c r="N15" s="64">
        <v>109.1</v>
      </c>
      <c r="O15" s="64">
        <v>111.3</v>
      </c>
      <c r="P15" s="64">
        <v>111.1</v>
      </c>
      <c r="Q15" s="64">
        <v>109.8</v>
      </c>
      <c r="R15" s="64">
        <v>108.5</v>
      </c>
      <c r="S15" s="64">
        <v>106.7</v>
      </c>
      <c r="T15" s="64">
        <v>108.3</v>
      </c>
      <c r="U15" s="64">
        <v>100.5</v>
      </c>
      <c r="V15" s="64">
        <v>107.2</v>
      </c>
      <c r="W15" s="64">
        <v>107.1</v>
      </c>
      <c r="X15" s="64">
        <v>106.2</v>
      </c>
      <c r="Y15" s="64">
        <v>103.9</v>
      </c>
      <c r="Z15" s="64">
        <v>104.6</v>
      </c>
      <c r="AA15" s="64">
        <v>105.7</v>
      </c>
      <c r="AB15" s="64">
        <v>102.6</v>
      </c>
      <c r="AC15" s="64">
        <v>104.9</v>
      </c>
      <c r="AD15" s="64">
        <v>106.6</v>
      </c>
    </row>
    <row r="16" spans="1:30">
      <c r="A16" s="64" t="s">
        <v>34</v>
      </c>
      <c r="B16" s="64">
        <v>2013</v>
      </c>
      <c r="C16" s="64" t="s">
        <v>38</v>
      </c>
      <c r="D16" s="64">
        <v>112.3</v>
      </c>
      <c r="E16" s="64">
        <v>111.3</v>
      </c>
      <c r="F16" s="64">
        <v>104.7</v>
      </c>
      <c r="G16" s="64">
        <v>106.8</v>
      </c>
      <c r="H16" s="64">
        <v>103.9</v>
      </c>
      <c r="I16" s="64">
        <v>109.3</v>
      </c>
      <c r="J16" s="64">
        <v>112.9</v>
      </c>
      <c r="K16" s="64">
        <v>105.8</v>
      </c>
      <c r="L16" s="64">
        <v>103.1</v>
      </c>
      <c r="M16" s="64">
        <v>104.3</v>
      </c>
      <c r="N16" s="64">
        <v>108.1</v>
      </c>
      <c r="O16" s="64">
        <v>110.5</v>
      </c>
      <c r="P16" s="64">
        <v>109.2</v>
      </c>
      <c r="Q16" s="64">
        <v>108.6</v>
      </c>
      <c r="R16" s="64">
        <v>108.7</v>
      </c>
      <c r="S16" s="64">
        <v>107.4</v>
      </c>
      <c r="T16" s="64">
        <v>108.5</v>
      </c>
      <c r="U16" s="64">
        <v>100.5</v>
      </c>
      <c r="V16" s="64">
        <v>107.4</v>
      </c>
      <c r="W16" s="64">
        <v>106.9</v>
      </c>
      <c r="X16" s="64">
        <v>105.9</v>
      </c>
      <c r="Y16" s="64">
        <v>104</v>
      </c>
      <c r="Z16" s="64">
        <v>104.8</v>
      </c>
      <c r="AA16" s="64">
        <v>105.6</v>
      </c>
      <c r="AB16" s="64">
        <v>102.3</v>
      </c>
      <c r="AC16" s="64">
        <v>104.8</v>
      </c>
      <c r="AD16" s="64">
        <v>106.9</v>
      </c>
    </row>
    <row r="17" spans="1:30">
      <c r="A17" s="64" t="s">
        <v>30</v>
      </c>
      <c r="B17" s="64">
        <v>2013</v>
      </c>
      <c r="C17" s="64" t="s">
        <v>39</v>
      </c>
      <c r="D17" s="64">
        <v>112.3</v>
      </c>
      <c r="E17" s="64">
        <v>112.1</v>
      </c>
      <c r="F17" s="64">
        <v>108.1</v>
      </c>
      <c r="G17" s="64">
        <v>108.3</v>
      </c>
      <c r="H17" s="64">
        <v>105.9</v>
      </c>
      <c r="I17" s="64">
        <v>109.2</v>
      </c>
      <c r="J17" s="64">
        <v>118</v>
      </c>
      <c r="K17" s="64">
        <v>106.8</v>
      </c>
      <c r="L17" s="64">
        <v>104.1</v>
      </c>
      <c r="M17" s="64">
        <v>105.4</v>
      </c>
      <c r="N17" s="64">
        <v>108.2</v>
      </c>
      <c r="O17" s="64">
        <v>111</v>
      </c>
      <c r="P17" s="64">
        <v>110.6</v>
      </c>
      <c r="Q17" s="64">
        <v>109</v>
      </c>
      <c r="R17" s="64">
        <v>109.7</v>
      </c>
      <c r="S17" s="64">
        <v>108.8</v>
      </c>
      <c r="T17" s="64">
        <v>109.5</v>
      </c>
      <c r="U17" s="64">
        <v>106.6</v>
      </c>
      <c r="V17" s="64">
        <v>108.5</v>
      </c>
      <c r="W17" s="64">
        <v>107.5</v>
      </c>
      <c r="X17" s="64">
        <v>106.3</v>
      </c>
      <c r="Y17" s="64">
        <v>105</v>
      </c>
      <c r="Z17" s="64">
        <v>105.6</v>
      </c>
      <c r="AA17" s="64">
        <v>106.5</v>
      </c>
      <c r="AB17" s="64">
        <v>102.5</v>
      </c>
      <c r="AC17" s="64">
        <v>105.5</v>
      </c>
      <c r="AD17" s="64">
        <v>108.9</v>
      </c>
    </row>
    <row r="18" spans="1:30">
      <c r="A18" s="64" t="s">
        <v>33</v>
      </c>
      <c r="B18" s="64">
        <v>2013</v>
      </c>
      <c r="C18" s="64" t="s">
        <v>39</v>
      </c>
      <c r="D18" s="64">
        <v>117</v>
      </c>
      <c r="E18" s="64">
        <v>120.1</v>
      </c>
      <c r="F18" s="64">
        <v>112.5</v>
      </c>
      <c r="G18" s="64">
        <v>107.3</v>
      </c>
      <c r="H18" s="64">
        <v>101.3</v>
      </c>
      <c r="I18" s="64">
        <v>112.4</v>
      </c>
      <c r="J18" s="64">
        <v>143.6</v>
      </c>
      <c r="K18" s="64">
        <v>105.4</v>
      </c>
      <c r="L18" s="64">
        <v>101.4</v>
      </c>
      <c r="M18" s="64">
        <v>106.4</v>
      </c>
      <c r="N18" s="64">
        <v>110</v>
      </c>
      <c r="O18" s="64">
        <v>112.2</v>
      </c>
      <c r="P18" s="64">
        <v>115</v>
      </c>
      <c r="Q18" s="64">
        <v>110.9</v>
      </c>
      <c r="R18" s="64">
        <v>109.2</v>
      </c>
      <c r="S18" s="64">
        <v>107.2</v>
      </c>
      <c r="T18" s="64">
        <v>108.9</v>
      </c>
      <c r="U18" s="64">
        <v>107.7</v>
      </c>
      <c r="V18" s="64">
        <v>108</v>
      </c>
      <c r="W18" s="64">
        <v>107.7</v>
      </c>
      <c r="X18" s="64">
        <v>106.5</v>
      </c>
      <c r="Y18" s="64">
        <v>105.2</v>
      </c>
      <c r="Z18" s="64">
        <v>105.2</v>
      </c>
      <c r="AA18" s="64">
        <v>108.1</v>
      </c>
      <c r="AB18" s="64">
        <v>103.3</v>
      </c>
      <c r="AC18" s="64">
        <v>106.1</v>
      </c>
      <c r="AD18" s="64">
        <v>109.7</v>
      </c>
    </row>
    <row r="19" spans="1:30">
      <c r="A19" s="64" t="s">
        <v>34</v>
      </c>
      <c r="B19" s="64">
        <v>2013</v>
      </c>
      <c r="C19" s="64" t="s">
        <v>39</v>
      </c>
      <c r="D19" s="64">
        <v>113.8</v>
      </c>
      <c r="E19" s="64">
        <v>114.9</v>
      </c>
      <c r="F19" s="64">
        <v>109.8</v>
      </c>
      <c r="G19" s="64">
        <v>107.9</v>
      </c>
      <c r="H19" s="64">
        <v>104.2</v>
      </c>
      <c r="I19" s="64">
        <v>110.7</v>
      </c>
      <c r="J19" s="64">
        <v>126.7</v>
      </c>
      <c r="K19" s="64">
        <v>106.3</v>
      </c>
      <c r="L19" s="64">
        <v>103.2</v>
      </c>
      <c r="M19" s="64">
        <v>105.7</v>
      </c>
      <c r="N19" s="64">
        <v>109</v>
      </c>
      <c r="O19" s="64">
        <v>111.6</v>
      </c>
      <c r="P19" s="64">
        <v>112.2</v>
      </c>
      <c r="Q19" s="64">
        <v>109.5</v>
      </c>
      <c r="R19" s="64">
        <v>109.5</v>
      </c>
      <c r="S19" s="64">
        <v>108.1</v>
      </c>
      <c r="T19" s="64">
        <v>109.3</v>
      </c>
      <c r="U19" s="64">
        <v>108.9</v>
      </c>
      <c r="V19" s="64">
        <v>108.3</v>
      </c>
      <c r="W19" s="64">
        <v>107.6</v>
      </c>
      <c r="X19" s="64">
        <v>106.4</v>
      </c>
      <c r="Y19" s="64">
        <v>105.1</v>
      </c>
      <c r="Z19" s="64">
        <v>105.4</v>
      </c>
      <c r="AA19" s="64">
        <v>107.4</v>
      </c>
      <c r="AB19" s="64">
        <v>102.8</v>
      </c>
      <c r="AC19" s="64">
        <v>105.8</v>
      </c>
      <c r="AD19" s="64">
        <v>109.3</v>
      </c>
    </row>
    <row r="20" spans="1:30">
      <c r="A20" s="64" t="s">
        <v>30</v>
      </c>
      <c r="B20" s="64">
        <v>2013</v>
      </c>
      <c r="C20" s="64" t="s">
        <v>40</v>
      </c>
      <c r="D20" s="64">
        <v>113.4</v>
      </c>
      <c r="E20" s="64">
        <v>114.9</v>
      </c>
      <c r="F20" s="64">
        <v>110.5</v>
      </c>
      <c r="G20" s="64">
        <v>109.3</v>
      </c>
      <c r="H20" s="64">
        <v>106.2</v>
      </c>
      <c r="I20" s="64">
        <v>110.3</v>
      </c>
      <c r="J20" s="64">
        <v>129.19999999999999</v>
      </c>
      <c r="K20" s="64">
        <v>107.1</v>
      </c>
      <c r="L20" s="64">
        <v>104.3</v>
      </c>
      <c r="M20" s="64">
        <v>106.4</v>
      </c>
      <c r="N20" s="64">
        <v>109.1</v>
      </c>
      <c r="O20" s="64">
        <v>112.1</v>
      </c>
      <c r="P20" s="64">
        <v>113.1</v>
      </c>
      <c r="Q20" s="64">
        <v>109.8</v>
      </c>
      <c r="R20" s="64">
        <v>110.5</v>
      </c>
      <c r="S20" s="64">
        <v>109.5</v>
      </c>
      <c r="T20" s="64">
        <v>110.3</v>
      </c>
      <c r="U20" s="64">
        <v>107.7</v>
      </c>
      <c r="V20" s="64">
        <v>109.5</v>
      </c>
      <c r="W20" s="64">
        <v>108.3</v>
      </c>
      <c r="X20" s="64">
        <v>106.9</v>
      </c>
      <c r="Y20" s="64">
        <v>106.8</v>
      </c>
      <c r="Z20" s="64">
        <v>106.4</v>
      </c>
      <c r="AA20" s="64">
        <v>107.8</v>
      </c>
      <c r="AB20" s="64">
        <v>102.5</v>
      </c>
      <c r="AC20" s="64">
        <v>106.5</v>
      </c>
      <c r="AD20" s="64">
        <v>110.7</v>
      </c>
    </row>
    <row r="21" spans="1:30">
      <c r="A21" s="64" t="s">
        <v>33</v>
      </c>
      <c r="B21" s="64">
        <v>2013</v>
      </c>
      <c r="C21" s="64" t="s">
        <v>40</v>
      </c>
      <c r="D21" s="64">
        <v>117.8</v>
      </c>
      <c r="E21" s="64">
        <v>119.2</v>
      </c>
      <c r="F21" s="64">
        <v>114</v>
      </c>
      <c r="G21" s="64">
        <v>108.3</v>
      </c>
      <c r="H21" s="64">
        <v>101.1</v>
      </c>
      <c r="I21" s="64">
        <v>113.2</v>
      </c>
      <c r="J21" s="64">
        <v>160.9</v>
      </c>
      <c r="K21" s="64">
        <v>105.1</v>
      </c>
      <c r="L21" s="64">
        <v>101.3</v>
      </c>
      <c r="M21" s="64">
        <v>107.5</v>
      </c>
      <c r="N21" s="64">
        <v>110.4</v>
      </c>
      <c r="O21" s="64">
        <v>113.1</v>
      </c>
      <c r="P21" s="64">
        <v>117.5</v>
      </c>
      <c r="Q21" s="64">
        <v>111.7</v>
      </c>
      <c r="R21" s="64">
        <v>109.8</v>
      </c>
      <c r="S21" s="64">
        <v>107.8</v>
      </c>
      <c r="T21" s="64">
        <v>109.5</v>
      </c>
      <c r="U21" s="64">
        <v>110.5</v>
      </c>
      <c r="V21" s="64">
        <v>108.6</v>
      </c>
      <c r="W21" s="64">
        <v>108.1</v>
      </c>
      <c r="X21" s="64">
        <v>107.1</v>
      </c>
      <c r="Y21" s="64">
        <v>107.3</v>
      </c>
      <c r="Z21" s="64">
        <v>105.9</v>
      </c>
      <c r="AA21" s="64">
        <v>110.1</v>
      </c>
      <c r="AB21" s="64">
        <v>103.2</v>
      </c>
      <c r="AC21" s="64">
        <v>107.3</v>
      </c>
      <c r="AD21" s="64">
        <v>111.4</v>
      </c>
    </row>
    <row r="22" spans="1:30">
      <c r="A22" s="64" t="s">
        <v>34</v>
      </c>
      <c r="B22" s="64">
        <v>2013</v>
      </c>
      <c r="C22" s="64" t="s">
        <v>40</v>
      </c>
      <c r="D22" s="64">
        <v>114.8</v>
      </c>
      <c r="E22" s="64">
        <v>116.4</v>
      </c>
      <c r="F22" s="64">
        <v>111.9</v>
      </c>
      <c r="G22" s="64">
        <v>108.9</v>
      </c>
      <c r="H22" s="64">
        <v>104.3</v>
      </c>
      <c r="I22" s="64">
        <v>111.7</v>
      </c>
      <c r="J22" s="64">
        <v>140</v>
      </c>
      <c r="K22" s="64">
        <v>106.4</v>
      </c>
      <c r="L22" s="64">
        <v>103.3</v>
      </c>
      <c r="M22" s="64">
        <v>106.8</v>
      </c>
      <c r="N22" s="64">
        <v>109.6</v>
      </c>
      <c r="O22" s="64">
        <v>112.6</v>
      </c>
      <c r="P22" s="64">
        <v>114.7</v>
      </c>
      <c r="Q22" s="64">
        <v>110.3</v>
      </c>
      <c r="R22" s="64">
        <v>110.2</v>
      </c>
      <c r="S22" s="64">
        <v>108.8</v>
      </c>
      <c r="T22" s="64">
        <v>110</v>
      </c>
      <c r="U22" s="64">
        <v>111.1</v>
      </c>
      <c r="V22" s="64">
        <v>109.2</v>
      </c>
      <c r="W22" s="64">
        <v>108.2</v>
      </c>
      <c r="X22" s="64">
        <v>107</v>
      </c>
      <c r="Y22" s="64">
        <v>107.1</v>
      </c>
      <c r="Z22" s="64">
        <v>106.1</v>
      </c>
      <c r="AA22" s="64">
        <v>109.1</v>
      </c>
      <c r="AB22" s="64">
        <v>102.8</v>
      </c>
      <c r="AC22" s="64">
        <v>106.9</v>
      </c>
      <c r="AD22" s="64">
        <v>111</v>
      </c>
    </row>
    <row r="23" spans="1:30">
      <c r="A23" s="64" t="s">
        <v>30</v>
      </c>
      <c r="B23" s="64">
        <v>2013</v>
      </c>
      <c r="C23" s="64" t="s">
        <v>41</v>
      </c>
      <c r="D23" s="64">
        <v>114.3</v>
      </c>
      <c r="E23" s="64">
        <v>115.4</v>
      </c>
      <c r="F23" s="64">
        <v>111.1</v>
      </c>
      <c r="G23" s="64">
        <v>110</v>
      </c>
      <c r="H23" s="64">
        <v>106.4</v>
      </c>
      <c r="I23" s="64">
        <v>110.8</v>
      </c>
      <c r="J23" s="64">
        <v>138.9</v>
      </c>
      <c r="K23" s="64">
        <v>107.4</v>
      </c>
      <c r="L23" s="64">
        <v>104.1</v>
      </c>
      <c r="M23" s="64">
        <v>106.9</v>
      </c>
      <c r="N23" s="64">
        <v>109.7</v>
      </c>
      <c r="O23" s="64">
        <v>112.6</v>
      </c>
      <c r="P23" s="64">
        <v>114.9</v>
      </c>
      <c r="Q23" s="64">
        <v>110.7</v>
      </c>
      <c r="R23" s="64">
        <v>111.3</v>
      </c>
      <c r="S23" s="64">
        <v>110.2</v>
      </c>
      <c r="T23" s="64">
        <v>111.1</v>
      </c>
      <c r="U23" s="64">
        <v>108.9</v>
      </c>
      <c r="V23" s="64">
        <v>109.9</v>
      </c>
      <c r="W23" s="64">
        <v>108.7</v>
      </c>
      <c r="X23" s="64">
        <v>107.5</v>
      </c>
      <c r="Y23" s="64">
        <v>107.8</v>
      </c>
      <c r="Z23" s="64">
        <v>106.8</v>
      </c>
      <c r="AA23" s="64">
        <v>108.7</v>
      </c>
      <c r="AB23" s="64">
        <v>105</v>
      </c>
      <c r="AC23" s="64">
        <v>107.5</v>
      </c>
      <c r="AD23" s="64">
        <v>112.1</v>
      </c>
    </row>
    <row r="24" spans="1:30">
      <c r="A24" s="64" t="s">
        <v>33</v>
      </c>
      <c r="B24" s="64">
        <v>2013</v>
      </c>
      <c r="C24" s="64" t="s">
        <v>41</v>
      </c>
      <c r="D24" s="64">
        <v>118.3</v>
      </c>
      <c r="E24" s="64">
        <v>120.4</v>
      </c>
      <c r="F24" s="64">
        <v>112.7</v>
      </c>
      <c r="G24" s="64">
        <v>108.9</v>
      </c>
      <c r="H24" s="64">
        <v>101.1</v>
      </c>
      <c r="I24" s="64">
        <v>108.7</v>
      </c>
      <c r="J24" s="64">
        <v>177</v>
      </c>
      <c r="K24" s="64">
        <v>104.7</v>
      </c>
      <c r="L24" s="64">
        <v>101</v>
      </c>
      <c r="M24" s="64">
        <v>108.5</v>
      </c>
      <c r="N24" s="64">
        <v>110.9</v>
      </c>
      <c r="O24" s="64">
        <v>114.3</v>
      </c>
      <c r="P24" s="64">
        <v>119.6</v>
      </c>
      <c r="Q24" s="64">
        <v>112.4</v>
      </c>
      <c r="R24" s="64">
        <v>110.6</v>
      </c>
      <c r="S24" s="64">
        <v>108.3</v>
      </c>
      <c r="T24" s="64">
        <v>110.2</v>
      </c>
      <c r="U24" s="64">
        <v>108.9</v>
      </c>
      <c r="V24" s="64">
        <v>109.3</v>
      </c>
      <c r="W24" s="64">
        <v>108.7</v>
      </c>
      <c r="X24" s="64">
        <v>107.6</v>
      </c>
      <c r="Y24" s="64">
        <v>108.1</v>
      </c>
      <c r="Z24" s="64">
        <v>106.5</v>
      </c>
      <c r="AA24" s="64">
        <v>110.8</v>
      </c>
      <c r="AB24" s="64">
        <v>106</v>
      </c>
      <c r="AC24" s="64">
        <v>108.3</v>
      </c>
      <c r="AD24" s="64">
        <v>112.7</v>
      </c>
    </row>
    <row r="25" spans="1:30">
      <c r="A25" s="64" t="s">
        <v>34</v>
      </c>
      <c r="B25" s="64">
        <v>2013</v>
      </c>
      <c r="C25" s="64" t="s">
        <v>41</v>
      </c>
      <c r="D25" s="64">
        <v>115.6</v>
      </c>
      <c r="E25" s="64">
        <v>117.2</v>
      </c>
      <c r="F25" s="64">
        <v>111.7</v>
      </c>
      <c r="G25" s="64">
        <v>109.6</v>
      </c>
      <c r="H25" s="64">
        <v>104.5</v>
      </c>
      <c r="I25" s="64">
        <v>109.8</v>
      </c>
      <c r="J25" s="64">
        <v>151.80000000000001</v>
      </c>
      <c r="K25" s="64">
        <v>106.5</v>
      </c>
      <c r="L25" s="64">
        <v>103.1</v>
      </c>
      <c r="M25" s="64">
        <v>107.4</v>
      </c>
      <c r="N25" s="64">
        <v>110.2</v>
      </c>
      <c r="O25" s="64">
        <v>113.4</v>
      </c>
      <c r="P25" s="64">
        <v>116.6</v>
      </c>
      <c r="Q25" s="64">
        <v>111.2</v>
      </c>
      <c r="R25" s="64">
        <v>111</v>
      </c>
      <c r="S25" s="64">
        <v>109.4</v>
      </c>
      <c r="T25" s="64">
        <v>110.7</v>
      </c>
      <c r="U25" s="64">
        <v>108.9</v>
      </c>
      <c r="V25" s="64">
        <v>109.7</v>
      </c>
      <c r="W25" s="64">
        <v>108.7</v>
      </c>
      <c r="X25" s="64">
        <v>107.5</v>
      </c>
      <c r="Y25" s="64">
        <v>108</v>
      </c>
      <c r="Z25" s="64">
        <v>106.6</v>
      </c>
      <c r="AA25" s="64">
        <v>109.9</v>
      </c>
      <c r="AB25" s="64">
        <v>105.4</v>
      </c>
      <c r="AC25" s="64">
        <v>107.9</v>
      </c>
      <c r="AD25" s="64">
        <v>112.4</v>
      </c>
    </row>
    <row r="26" spans="1:30">
      <c r="A26" s="64" t="s">
        <v>30</v>
      </c>
      <c r="B26" s="64">
        <v>2013</v>
      </c>
      <c r="C26" s="64" t="s">
        <v>42</v>
      </c>
      <c r="D26" s="64">
        <v>115.4</v>
      </c>
      <c r="E26" s="64">
        <v>115.7</v>
      </c>
      <c r="F26" s="64">
        <v>111.7</v>
      </c>
      <c r="G26" s="64">
        <v>111</v>
      </c>
      <c r="H26" s="64">
        <v>107.4</v>
      </c>
      <c r="I26" s="64">
        <v>110.9</v>
      </c>
      <c r="J26" s="64">
        <v>154</v>
      </c>
      <c r="K26" s="64">
        <v>108.1</v>
      </c>
      <c r="L26" s="64">
        <v>104.2</v>
      </c>
      <c r="M26" s="64">
        <v>107.9</v>
      </c>
      <c r="N26" s="64">
        <v>110.4</v>
      </c>
      <c r="O26" s="64">
        <v>114</v>
      </c>
      <c r="P26" s="64">
        <v>117.8</v>
      </c>
      <c r="Q26" s="64">
        <v>111.7</v>
      </c>
      <c r="R26" s="64">
        <v>112.7</v>
      </c>
      <c r="S26" s="64">
        <v>111.4</v>
      </c>
      <c r="T26" s="64">
        <v>112.5</v>
      </c>
      <c r="U26" s="64">
        <v>109.7</v>
      </c>
      <c r="V26" s="64">
        <v>111.1</v>
      </c>
      <c r="W26" s="64">
        <v>109.6</v>
      </c>
      <c r="X26" s="64">
        <v>108.3</v>
      </c>
      <c r="Y26" s="64">
        <v>109.3</v>
      </c>
      <c r="Z26" s="64">
        <v>107.7</v>
      </c>
      <c r="AA26" s="64">
        <v>109.8</v>
      </c>
      <c r="AB26" s="64">
        <v>106.7</v>
      </c>
      <c r="AC26" s="64">
        <v>108.7</v>
      </c>
      <c r="AD26" s="64">
        <v>114.2</v>
      </c>
    </row>
    <row r="27" spans="1:30">
      <c r="A27" s="64" t="s">
        <v>33</v>
      </c>
      <c r="B27" s="64">
        <v>2013</v>
      </c>
      <c r="C27" s="64" t="s">
        <v>42</v>
      </c>
      <c r="D27" s="64">
        <v>118.6</v>
      </c>
      <c r="E27" s="64">
        <v>119.1</v>
      </c>
      <c r="F27" s="64">
        <v>113.2</v>
      </c>
      <c r="G27" s="64">
        <v>109.6</v>
      </c>
      <c r="H27" s="64">
        <v>101.7</v>
      </c>
      <c r="I27" s="64">
        <v>103.2</v>
      </c>
      <c r="J27" s="64">
        <v>174.3</v>
      </c>
      <c r="K27" s="64">
        <v>105.1</v>
      </c>
      <c r="L27" s="64">
        <v>100.8</v>
      </c>
      <c r="M27" s="64">
        <v>109.1</v>
      </c>
      <c r="N27" s="64">
        <v>111.1</v>
      </c>
      <c r="O27" s="64">
        <v>115.4</v>
      </c>
      <c r="P27" s="64">
        <v>119.2</v>
      </c>
      <c r="Q27" s="64">
        <v>112.9</v>
      </c>
      <c r="R27" s="64">
        <v>111.4</v>
      </c>
      <c r="S27" s="64">
        <v>109</v>
      </c>
      <c r="T27" s="64">
        <v>111.1</v>
      </c>
      <c r="U27" s="64">
        <v>109.7</v>
      </c>
      <c r="V27" s="64">
        <v>109.5</v>
      </c>
      <c r="W27" s="64">
        <v>109.6</v>
      </c>
      <c r="X27" s="64">
        <v>107.9</v>
      </c>
      <c r="Y27" s="64">
        <v>110.4</v>
      </c>
      <c r="Z27" s="64">
        <v>107.4</v>
      </c>
      <c r="AA27" s="64">
        <v>111.2</v>
      </c>
      <c r="AB27" s="64">
        <v>106.9</v>
      </c>
      <c r="AC27" s="64">
        <v>109.4</v>
      </c>
      <c r="AD27" s="64">
        <v>113.2</v>
      </c>
    </row>
    <row r="28" spans="1:30">
      <c r="A28" s="64" t="s">
        <v>34</v>
      </c>
      <c r="B28" s="64">
        <v>2013</v>
      </c>
      <c r="C28" s="64" t="s">
        <v>42</v>
      </c>
      <c r="D28" s="64">
        <v>116.4</v>
      </c>
      <c r="E28" s="64">
        <v>116.9</v>
      </c>
      <c r="F28" s="64">
        <v>112.3</v>
      </c>
      <c r="G28" s="64">
        <v>110.5</v>
      </c>
      <c r="H28" s="64">
        <v>105.3</v>
      </c>
      <c r="I28" s="64">
        <v>107.3</v>
      </c>
      <c r="J28" s="64">
        <v>160.9</v>
      </c>
      <c r="K28" s="64">
        <v>107.1</v>
      </c>
      <c r="L28" s="64">
        <v>103.1</v>
      </c>
      <c r="M28" s="64">
        <v>108.3</v>
      </c>
      <c r="N28" s="64">
        <v>110.7</v>
      </c>
      <c r="O28" s="64">
        <v>114.6</v>
      </c>
      <c r="P28" s="64">
        <v>118.3</v>
      </c>
      <c r="Q28" s="64">
        <v>112</v>
      </c>
      <c r="R28" s="64">
        <v>112.2</v>
      </c>
      <c r="S28" s="64">
        <v>110.4</v>
      </c>
      <c r="T28" s="64">
        <v>111.9</v>
      </c>
      <c r="U28" s="64">
        <v>109.7</v>
      </c>
      <c r="V28" s="64">
        <v>110.5</v>
      </c>
      <c r="W28" s="64">
        <v>109.6</v>
      </c>
      <c r="X28" s="64">
        <v>108.1</v>
      </c>
      <c r="Y28" s="64">
        <v>109.9</v>
      </c>
      <c r="Z28" s="64">
        <v>107.5</v>
      </c>
      <c r="AA28" s="64">
        <v>110.6</v>
      </c>
      <c r="AB28" s="64">
        <v>106.8</v>
      </c>
      <c r="AC28" s="64">
        <v>109</v>
      </c>
      <c r="AD28" s="64">
        <v>113.7</v>
      </c>
    </row>
    <row r="29" spans="1:30">
      <c r="A29" s="64" t="s">
        <v>30</v>
      </c>
      <c r="B29" s="64">
        <v>2013</v>
      </c>
      <c r="C29" s="64" t="s">
        <v>43</v>
      </c>
      <c r="D29" s="64">
        <v>116.3</v>
      </c>
      <c r="E29" s="64">
        <v>115.4</v>
      </c>
      <c r="F29" s="64">
        <v>112.6</v>
      </c>
      <c r="G29" s="64">
        <v>111.7</v>
      </c>
      <c r="H29" s="64">
        <v>107.7</v>
      </c>
      <c r="I29" s="64">
        <v>113.2</v>
      </c>
      <c r="J29" s="64">
        <v>164.9</v>
      </c>
      <c r="K29" s="64">
        <v>108.3</v>
      </c>
      <c r="L29" s="64">
        <v>103.9</v>
      </c>
      <c r="M29" s="64">
        <v>108.2</v>
      </c>
      <c r="N29" s="64">
        <v>111.1</v>
      </c>
      <c r="O29" s="64">
        <v>114.9</v>
      </c>
      <c r="P29" s="64">
        <v>119.8</v>
      </c>
      <c r="Q29" s="64">
        <v>112.2</v>
      </c>
      <c r="R29" s="64">
        <v>113.6</v>
      </c>
      <c r="S29" s="64">
        <v>112.3</v>
      </c>
      <c r="T29" s="64">
        <v>113.4</v>
      </c>
      <c r="U29" s="64">
        <v>110.5</v>
      </c>
      <c r="V29" s="64">
        <v>111.6</v>
      </c>
      <c r="W29" s="64">
        <v>110.4</v>
      </c>
      <c r="X29" s="64">
        <v>108.9</v>
      </c>
      <c r="Y29" s="64">
        <v>109.3</v>
      </c>
      <c r="Z29" s="64">
        <v>108.3</v>
      </c>
      <c r="AA29" s="64">
        <v>110.2</v>
      </c>
      <c r="AB29" s="64">
        <v>107.5</v>
      </c>
      <c r="AC29" s="64">
        <v>109.1</v>
      </c>
      <c r="AD29" s="64">
        <v>115.5</v>
      </c>
    </row>
    <row r="30" spans="1:30">
      <c r="A30" s="64" t="s">
        <v>33</v>
      </c>
      <c r="B30" s="64">
        <v>2013</v>
      </c>
      <c r="C30" s="64" t="s">
        <v>43</v>
      </c>
      <c r="D30" s="64">
        <v>118.9</v>
      </c>
      <c r="E30" s="64">
        <v>118.1</v>
      </c>
      <c r="F30" s="64">
        <v>114.5</v>
      </c>
      <c r="G30" s="64">
        <v>110.4</v>
      </c>
      <c r="H30" s="64">
        <v>102.3</v>
      </c>
      <c r="I30" s="64">
        <v>106.2</v>
      </c>
      <c r="J30" s="64">
        <v>183.5</v>
      </c>
      <c r="K30" s="64">
        <v>105.3</v>
      </c>
      <c r="L30" s="64">
        <v>100.2</v>
      </c>
      <c r="M30" s="64">
        <v>109.6</v>
      </c>
      <c r="N30" s="64">
        <v>111.4</v>
      </c>
      <c r="O30" s="64">
        <v>116</v>
      </c>
      <c r="P30" s="64">
        <v>120.8</v>
      </c>
      <c r="Q30" s="64">
        <v>113.5</v>
      </c>
      <c r="R30" s="64">
        <v>112.5</v>
      </c>
      <c r="S30" s="64">
        <v>109.7</v>
      </c>
      <c r="T30" s="64">
        <v>112</v>
      </c>
      <c r="U30" s="64">
        <v>110.5</v>
      </c>
      <c r="V30" s="64">
        <v>109.7</v>
      </c>
      <c r="W30" s="64">
        <v>110.2</v>
      </c>
      <c r="X30" s="64">
        <v>108.2</v>
      </c>
      <c r="Y30" s="64">
        <v>109.7</v>
      </c>
      <c r="Z30" s="64">
        <v>108</v>
      </c>
      <c r="AA30" s="64">
        <v>111.3</v>
      </c>
      <c r="AB30" s="64">
        <v>107.3</v>
      </c>
      <c r="AC30" s="64">
        <v>109.4</v>
      </c>
      <c r="AD30" s="64">
        <v>114</v>
      </c>
    </row>
    <row r="31" spans="1:30">
      <c r="A31" s="64" t="s">
        <v>34</v>
      </c>
      <c r="B31" s="64">
        <v>2013</v>
      </c>
      <c r="C31" s="64" t="s">
        <v>43</v>
      </c>
      <c r="D31" s="64">
        <v>117.1</v>
      </c>
      <c r="E31" s="64">
        <v>116.3</v>
      </c>
      <c r="F31" s="64">
        <v>113.3</v>
      </c>
      <c r="G31" s="64">
        <v>111.2</v>
      </c>
      <c r="H31" s="64">
        <v>105.7</v>
      </c>
      <c r="I31" s="64">
        <v>109.9</v>
      </c>
      <c r="J31" s="64">
        <v>171.2</v>
      </c>
      <c r="K31" s="64">
        <v>107.3</v>
      </c>
      <c r="L31" s="64">
        <v>102.7</v>
      </c>
      <c r="M31" s="64">
        <v>108.7</v>
      </c>
      <c r="N31" s="64">
        <v>111.2</v>
      </c>
      <c r="O31" s="64">
        <v>115.4</v>
      </c>
      <c r="P31" s="64">
        <v>120.2</v>
      </c>
      <c r="Q31" s="64">
        <v>112.5</v>
      </c>
      <c r="R31" s="64">
        <v>113.2</v>
      </c>
      <c r="S31" s="64">
        <v>111.2</v>
      </c>
      <c r="T31" s="64">
        <v>112.8</v>
      </c>
      <c r="U31" s="64">
        <v>110.5</v>
      </c>
      <c r="V31" s="64">
        <v>110.9</v>
      </c>
      <c r="W31" s="64">
        <v>110.3</v>
      </c>
      <c r="X31" s="64">
        <v>108.6</v>
      </c>
      <c r="Y31" s="64">
        <v>109.5</v>
      </c>
      <c r="Z31" s="64">
        <v>108.1</v>
      </c>
      <c r="AA31" s="64">
        <v>110.8</v>
      </c>
      <c r="AB31" s="64">
        <v>107.4</v>
      </c>
      <c r="AC31" s="64">
        <v>109.2</v>
      </c>
      <c r="AD31" s="64">
        <v>114.8</v>
      </c>
    </row>
    <row r="32" spans="1:30">
      <c r="A32" s="64" t="s">
        <v>30</v>
      </c>
      <c r="B32" s="64">
        <v>2013</v>
      </c>
      <c r="C32" s="64" t="s">
        <v>44</v>
      </c>
      <c r="D32" s="64">
        <v>117.3</v>
      </c>
      <c r="E32" s="64">
        <v>114.9</v>
      </c>
      <c r="F32" s="64">
        <v>116.2</v>
      </c>
      <c r="G32" s="64">
        <v>112.8</v>
      </c>
      <c r="H32" s="64">
        <v>108.9</v>
      </c>
      <c r="I32" s="64">
        <v>116.6</v>
      </c>
      <c r="J32" s="64">
        <v>178.1</v>
      </c>
      <c r="K32" s="64">
        <v>109.1</v>
      </c>
      <c r="L32" s="64">
        <v>103.6</v>
      </c>
      <c r="M32" s="64">
        <v>109</v>
      </c>
      <c r="N32" s="64">
        <v>111.8</v>
      </c>
      <c r="O32" s="64">
        <v>116</v>
      </c>
      <c r="P32" s="64">
        <v>122.5</v>
      </c>
      <c r="Q32" s="64">
        <v>112.8</v>
      </c>
      <c r="R32" s="64">
        <v>114.6</v>
      </c>
      <c r="S32" s="64">
        <v>113.1</v>
      </c>
      <c r="T32" s="64">
        <v>114.4</v>
      </c>
      <c r="U32" s="64">
        <v>111.1</v>
      </c>
      <c r="V32" s="64">
        <v>112.6</v>
      </c>
      <c r="W32" s="64">
        <v>111.3</v>
      </c>
      <c r="X32" s="64">
        <v>109.7</v>
      </c>
      <c r="Y32" s="64">
        <v>109.6</v>
      </c>
      <c r="Z32" s="64">
        <v>108.7</v>
      </c>
      <c r="AA32" s="64">
        <v>111</v>
      </c>
      <c r="AB32" s="64">
        <v>108.2</v>
      </c>
      <c r="AC32" s="64">
        <v>109.8</v>
      </c>
      <c r="AD32" s="64">
        <v>117.4</v>
      </c>
    </row>
    <row r="33" spans="1:30">
      <c r="A33" s="64" t="s">
        <v>33</v>
      </c>
      <c r="B33" s="64">
        <v>2013</v>
      </c>
      <c r="C33" s="64" t="s">
        <v>45</v>
      </c>
      <c r="D33" s="64">
        <v>119.8</v>
      </c>
      <c r="E33" s="64">
        <v>116.3</v>
      </c>
      <c r="F33" s="64">
        <v>122.6</v>
      </c>
      <c r="G33" s="64">
        <v>112</v>
      </c>
      <c r="H33" s="64">
        <v>103.2</v>
      </c>
      <c r="I33" s="64">
        <v>110</v>
      </c>
      <c r="J33" s="64">
        <v>192.8</v>
      </c>
      <c r="K33" s="64">
        <v>106.3</v>
      </c>
      <c r="L33" s="64">
        <v>99.5</v>
      </c>
      <c r="M33" s="64">
        <v>110.3</v>
      </c>
      <c r="N33" s="64">
        <v>111.8</v>
      </c>
      <c r="O33" s="64">
        <v>117.1</v>
      </c>
      <c r="P33" s="64">
        <v>122.9</v>
      </c>
      <c r="Q33" s="64">
        <v>114.1</v>
      </c>
      <c r="R33" s="64">
        <v>113.5</v>
      </c>
      <c r="S33" s="64">
        <v>110.3</v>
      </c>
      <c r="T33" s="64">
        <v>113</v>
      </c>
      <c r="U33" s="64">
        <v>111.1</v>
      </c>
      <c r="V33" s="64">
        <v>110</v>
      </c>
      <c r="W33" s="64">
        <v>110.9</v>
      </c>
      <c r="X33" s="64">
        <v>108.6</v>
      </c>
      <c r="Y33" s="64">
        <v>109.5</v>
      </c>
      <c r="Z33" s="64">
        <v>108.5</v>
      </c>
      <c r="AA33" s="64">
        <v>111.3</v>
      </c>
      <c r="AB33" s="64">
        <v>107.9</v>
      </c>
      <c r="AC33" s="64">
        <v>109.6</v>
      </c>
      <c r="AD33" s="64">
        <v>115</v>
      </c>
    </row>
    <row r="34" spans="1:30">
      <c r="A34" s="64" t="s">
        <v>34</v>
      </c>
      <c r="B34" s="64">
        <v>2013</v>
      </c>
      <c r="C34" s="64" t="s">
        <v>45</v>
      </c>
      <c r="D34" s="64">
        <v>118.1</v>
      </c>
      <c r="E34" s="64">
        <v>115.4</v>
      </c>
      <c r="F34" s="64">
        <v>118.7</v>
      </c>
      <c r="G34" s="64">
        <v>112.5</v>
      </c>
      <c r="H34" s="64">
        <v>106.8</v>
      </c>
      <c r="I34" s="64">
        <v>113.5</v>
      </c>
      <c r="J34" s="64">
        <v>183.1</v>
      </c>
      <c r="K34" s="64">
        <v>108.2</v>
      </c>
      <c r="L34" s="64">
        <v>102.2</v>
      </c>
      <c r="M34" s="64">
        <v>109.4</v>
      </c>
      <c r="N34" s="64">
        <v>111.8</v>
      </c>
      <c r="O34" s="64">
        <v>116.5</v>
      </c>
      <c r="P34" s="64">
        <v>122.6</v>
      </c>
      <c r="Q34" s="64">
        <v>113.1</v>
      </c>
      <c r="R34" s="64">
        <v>114.2</v>
      </c>
      <c r="S34" s="64">
        <v>111.9</v>
      </c>
      <c r="T34" s="64">
        <v>113.8</v>
      </c>
      <c r="U34" s="64">
        <v>111.1</v>
      </c>
      <c r="V34" s="64">
        <v>111.6</v>
      </c>
      <c r="W34" s="64">
        <v>111.1</v>
      </c>
      <c r="X34" s="64">
        <v>109.3</v>
      </c>
      <c r="Y34" s="64">
        <v>109.5</v>
      </c>
      <c r="Z34" s="64">
        <v>108.6</v>
      </c>
      <c r="AA34" s="64">
        <v>111.2</v>
      </c>
      <c r="AB34" s="64">
        <v>108.1</v>
      </c>
      <c r="AC34" s="64">
        <v>109.7</v>
      </c>
      <c r="AD34" s="64">
        <v>116.3</v>
      </c>
    </row>
    <row r="35" spans="1:30">
      <c r="A35" s="64" t="s">
        <v>30</v>
      </c>
      <c r="B35" s="64">
        <v>2013</v>
      </c>
      <c r="C35" s="64" t="s">
        <v>46</v>
      </c>
      <c r="D35" s="64">
        <v>118.4</v>
      </c>
      <c r="E35" s="64">
        <v>115.9</v>
      </c>
      <c r="F35" s="64">
        <v>120.4</v>
      </c>
      <c r="G35" s="64">
        <v>113.8</v>
      </c>
      <c r="H35" s="64">
        <v>109.5</v>
      </c>
      <c r="I35" s="64">
        <v>115.5</v>
      </c>
      <c r="J35" s="64">
        <v>145.69999999999999</v>
      </c>
      <c r="K35" s="64">
        <v>109.5</v>
      </c>
      <c r="L35" s="64">
        <v>102.9</v>
      </c>
      <c r="M35" s="64">
        <v>109.8</v>
      </c>
      <c r="N35" s="64">
        <v>112.1</v>
      </c>
      <c r="O35" s="64">
        <v>116.8</v>
      </c>
      <c r="P35" s="64">
        <v>118.7</v>
      </c>
      <c r="Q35" s="64">
        <v>113.6</v>
      </c>
      <c r="R35" s="64">
        <v>115.8</v>
      </c>
      <c r="S35" s="64">
        <v>114</v>
      </c>
      <c r="T35" s="64">
        <v>115.5</v>
      </c>
      <c r="U35" s="64">
        <v>110.7</v>
      </c>
      <c r="V35" s="64">
        <v>112.8</v>
      </c>
      <c r="W35" s="64">
        <v>112.1</v>
      </c>
      <c r="X35" s="64">
        <v>110.1</v>
      </c>
      <c r="Y35" s="64">
        <v>109.9</v>
      </c>
      <c r="Z35" s="64">
        <v>109.2</v>
      </c>
      <c r="AA35" s="64">
        <v>111.6</v>
      </c>
      <c r="AB35" s="64">
        <v>108.1</v>
      </c>
      <c r="AC35" s="64">
        <v>110.1</v>
      </c>
      <c r="AD35" s="64">
        <v>115.5</v>
      </c>
    </row>
    <row r="36" spans="1:30">
      <c r="A36" s="64" t="s">
        <v>33</v>
      </c>
      <c r="B36" s="64">
        <v>2013</v>
      </c>
      <c r="C36" s="64" t="s">
        <v>46</v>
      </c>
      <c r="D36" s="64">
        <v>120.5</v>
      </c>
      <c r="E36" s="64">
        <v>118.1</v>
      </c>
      <c r="F36" s="64">
        <v>128.5</v>
      </c>
      <c r="G36" s="64">
        <v>112.8</v>
      </c>
      <c r="H36" s="64">
        <v>103.4</v>
      </c>
      <c r="I36" s="64">
        <v>110.7</v>
      </c>
      <c r="J36" s="64">
        <v>144.80000000000001</v>
      </c>
      <c r="K36" s="64">
        <v>107.1</v>
      </c>
      <c r="L36" s="64">
        <v>98.6</v>
      </c>
      <c r="M36" s="64">
        <v>111.9</v>
      </c>
      <c r="N36" s="64">
        <v>112.1</v>
      </c>
      <c r="O36" s="64">
        <v>118.1</v>
      </c>
      <c r="P36" s="64">
        <v>117.8</v>
      </c>
      <c r="Q36" s="64">
        <v>115</v>
      </c>
      <c r="R36" s="64">
        <v>114.2</v>
      </c>
      <c r="S36" s="64">
        <v>110.9</v>
      </c>
      <c r="T36" s="64">
        <v>113.7</v>
      </c>
      <c r="U36" s="64">
        <v>110.7</v>
      </c>
      <c r="V36" s="64">
        <v>110.4</v>
      </c>
      <c r="W36" s="64">
        <v>111.3</v>
      </c>
      <c r="X36" s="64">
        <v>109</v>
      </c>
      <c r="Y36" s="64">
        <v>109.7</v>
      </c>
      <c r="Z36" s="64">
        <v>108.9</v>
      </c>
      <c r="AA36" s="64">
        <v>111.4</v>
      </c>
      <c r="AB36" s="64">
        <v>107.7</v>
      </c>
      <c r="AC36" s="64">
        <v>109.8</v>
      </c>
      <c r="AD36" s="64">
        <v>113.3</v>
      </c>
    </row>
    <row r="37" spans="1:30">
      <c r="A37" s="64" t="s">
        <v>34</v>
      </c>
      <c r="B37" s="64">
        <v>2013</v>
      </c>
      <c r="C37" s="64" t="s">
        <v>46</v>
      </c>
      <c r="D37" s="64">
        <v>119.1</v>
      </c>
      <c r="E37" s="64">
        <v>116.7</v>
      </c>
      <c r="F37" s="64">
        <v>123.5</v>
      </c>
      <c r="G37" s="64">
        <v>113.4</v>
      </c>
      <c r="H37" s="64">
        <v>107.3</v>
      </c>
      <c r="I37" s="64">
        <v>113.3</v>
      </c>
      <c r="J37" s="64">
        <v>145.4</v>
      </c>
      <c r="K37" s="64">
        <v>108.7</v>
      </c>
      <c r="L37" s="64">
        <v>101.5</v>
      </c>
      <c r="M37" s="64">
        <v>110.5</v>
      </c>
      <c r="N37" s="64">
        <v>112.1</v>
      </c>
      <c r="O37" s="64">
        <v>117.4</v>
      </c>
      <c r="P37" s="64">
        <v>118.4</v>
      </c>
      <c r="Q37" s="64">
        <v>114</v>
      </c>
      <c r="R37" s="64">
        <v>115.2</v>
      </c>
      <c r="S37" s="64">
        <v>112.7</v>
      </c>
      <c r="T37" s="64">
        <v>114.8</v>
      </c>
      <c r="U37" s="64">
        <v>110.7</v>
      </c>
      <c r="V37" s="64">
        <v>111.9</v>
      </c>
      <c r="W37" s="64">
        <v>111.7</v>
      </c>
      <c r="X37" s="64">
        <v>109.7</v>
      </c>
      <c r="Y37" s="64">
        <v>109.8</v>
      </c>
      <c r="Z37" s="64">
        <v>109</v>
      </c>
      <c r="AA37" s="64">
        <v>111.5</v>
      </c>
      <c r="AB37" s="64">
        <v>107.9</v>
      </c>
      <c r="AC37" s="64">
        <v>110</v>
      </c>
      <c r="AD37" s="64">
        <v>114.5</v>
      </c>
    </row>
    <row r="38" spans="1:30">
      <c r="A38" s="64" t="s">
        <v>30</v>
      </c>
      <c r="B38" s="64">
        <v>2014</v>
      </c>
      <c r="C38" s="64" t="s">
        <v>31</v>
      </c>
      <c r="D38" s="64">
        <v>118.9</v>
      </c>
      <c r="E38" s="64">
        <v>117.1</v>
      </c>
      <c r="F38" s="64">
        <v>120.5</v>
      </c>
      <c r="G38" s="64">
        <v>114.4</v>
      </c>
      <c r="H38" s="64">
        <v>109</v>
      </c>
      <c r="I38" s="64">
        <v>115.5</v>
      </c>
      <c r="J38" s="64">
        <v>123.9</v>
      </c>
      <c r="K38" s="64">
        <v>109.6</v>
      </c>
      <c r="L38" s="64">
        <v>101.8</v>
      </c>
      <c r="M38" s="64">
        <v>110.2</v>
      </c>
      <c r="N38" s="64">
        <v>112.4</v>
      </c>
      <c r="O38" s="64">
        <v>117.3</v>
      </c>
      <c r="P38" s="64">
        <v>116</v>
      </c>
      <c r="Q38" s="64">
        <v>114</v>
      </c>
      <c r="R38" s="64">
        <v>116.5</v>
      </c>
      <c r="S38" s="64">
        <v>114.5</v>
      </c>
      <c r="T38" s="64">
        <v>116.2</v>
      </c>
      <c r="U38" s="64">
        <v>111.6</v>
      </c>
      <c r="V38" s="64">
        <v>113</v>
      </c>
      <c r="W38" s="64">
        <v>112.6</v>
      </c>
      <c r="X38" s="64">
        <v>110.6</v>
      </c>
      <c r="Y38" s="64">
        <v>110.5</v>
      </c>
      <c r="Z38" s="64">
        <v>109.6</v>
      </c>
      <c r="AA38" s="64">
        <v>111.8</v>
      </c>
      <c r="AB38" s="64">
        <v>108.3</v>
      </c>
      <c r="AC38" s="64">
        <v>110.6</v>
      </c>
      <c r="AD38" s="64">
        <v>114.2</v>
      </c>
    </row>
    <row r="39" spans="1:30">
      <c r="A39" s="64" t="s">
        <v>33</v>
      </c>
      <c r="B39" s="64">
        <v>2014</v>
      </c>
      <c r="C39" s="64" t="s">
        <v>31</v>
      </c>
      <c r="D39" s="64">
        <v>121.2</v>
      </c>
      <c r="E39" s="64">
        <v>122</v>
      </c>
      <c r="F39" s="64">
        <v>129.9</v>
      </c>
      <c r="G39" s="64">
        <v>113.6</v>
      </c>
      <c r="H39" s="64">
        <v>102.9</v>
      </c>
      <c r="I39" s="64">
        <v>112.1</v>
      </c>
      <c r="J39" s="64">
        <v>118.9</v>
      </c>
      <c r="K39" s="64">
        <v>107.5</v>
      </c>
      <c r="L39" s="64">
        <v>96.9</v>
      </c>
      <c r="M39" s="64">
        <v>112.7</v>
      </c>
      <c r="N39" s="64">
        <v>112.1</v>
      </c>
      <c r="O39" s="64">
        <v>119</v>
      </c>
      <c r="P39" s="64">
        <v>115.5</v>
      </c>
      <c r="Q39" s="64">
        <v>115.7</v>
      </c>
      <c r="R39" s="64">
        <v>114.8</v>
      </c>
      <c r="S39" s="64">
        <v>111.3</v>
      </c>
      <c r="T39" s="64">
        <v>114.3</v>
      </c>
      <c r="U39" s="64">
        <v>111.6</v>
      </c>
      <c r="V39" s="64">
        <v>111</v>
      </c>
      <c r="W39" s="64">
        <v>111.9</v>
      </c>
      <c r="X39" s="64">
        <v>109.7</v>
      </c>
      <c r="Y39" s="64">
        <v>110.8</v>
      </c>
      <c r="Z39" s="64">
        <v>109.8</v>
      </c>
      <c r="AA39" s="64">
        <v>111.5</v>
      </c>
      <c r="AB39" s="64">
        <v>108</v>
      </c>
      <c r="AC39" s="64">
        <v>110.5</v>
      </c>
      <c r="AD39" s="64">
        <v>112.9</v>
      </c>
    </row>
    <row r="40" spans="1:30">
      <c r="A40" s="64" t="s">
        <v>34</v>
      </c>
      <c r="B40" s="64">
        <v>2014</v>
      </c>
      <c r="C40" s="64" t="s">
        <v>31</v>
      </c>
      <c r="D40" s="64">
        <v>119.6</v>
      </c>
      <c r="E40" s="64">
        <v>118.8</v>
      </c>
      <c r="F40" s="64">
        <v>124.1</v>
      </c>
      <c r="G40" s="64">
        <v>114.1</v>
      </c>
      <c r="H40" s="64">
        <v>106.8</v>
      </c>
      <c r="I40" s="64">
        <v>113.9</v>
      </c>
      <c r="J40" s="64">
        <v>122.2</v>
      </c>
      <c r="K40" s="64">
        <v>108.9</v>
      </c>
      <c r="L40" s="64">
        <v>100.2</v>
      </c>
      <c r="M40" s="64">
        <v>111</v>
      </c>
      <c r="N40" s="64">
        <v>112.3</v>
      </c>
      <c r="O40" s="64">
        <v>118.1</v>
      </c>
      <c r="P40" s="64">
        <v>115.8</v>
      </c>
      <c r="Q40" s="64">
        <v>114.5</v>
      </c>
      <c r="R40" s="64">
        <v>115.8</v>
      </c>
      <c r="S40" s="64">
        <v>113.2</v>
      </c>
      <c r="T40" s="64">
        <v>115.4</v>
      </c>
      <c r="U40" s="64">
        <v>111.6</v>
      </c>
      <c r="V40" s="64">
        <v>112.2</v>
      </c>
      <c r="W40" s="64">
        <v>112.3</v>
      </c>
      <c r="X40" s="64">
        <v>110.3</v>
      </c>
      <c r="Y40" s="64">
        <v>110.7</v>
      </c>
      <c r="Z40" s="64">
        <v>109.7</v>
      </c>
      <c r="AA40" s="64">
        <v>111.6</v>
      </c>
      <c r="AB40" s="64">
        <v>108.2</v>
      </c>
      <c r="AC40" s="64">
        <v>110.6</v>
      </c>
      <c r="AD40" s="64">
        <v>113.6</v>
      </c>
    </row>
    <row r="41" spans="1:30">
      <c r="A41" s="64" t="s">
        <v>30</v>
      </c>
      <c r="B41" s="64">
        <v>2014</v>
      </c>
      <c r="C41" s="64" t="s">
        <v>35</v>
      </c>
      <c r="D41" s="64">
        <v>119.4</v>
      </c>
      <c r="E41" s="64">
        <v>117.7</v>
      </c>
      <c r="F41" s="64">
        <v>121.2</v>
      </c>
      <c r="G41" s="64">
        <v>115</v>
      </c>
      <c r="H41" s="64">
        <v>109</v>
      </c>
      <c r="I41" s="64">
        <v>116.6</v>
      </c>
      <c r="J41" s="64">
        <v>116</v>
      </c>
      <c r="K41" s="64">
        <v>109.8</v>
      </c>
      <c r="L41" s="64">
        <v>101.1</v>
      </c>
      <c r="M41" s="64">
        <v>110.4</v>
      </c>
      <c r="N41" s="64">
        <v>112.9</v>
      </c>
      <c r="O41" s="64">
        <v>117.8</v>
      </c>
      <c r="P41" s="64">
        <v>115.3</v>
      </c>
      <c r="Q41" s="64">
        <v>114.2</v>
      </c>
      <c r="R41" s="64">
        <v>117.1</v>
      </c>
      <c r="S41" s="64">
        <v>114.5</v>
      </c>
      <c r="T41" s="64">
        <v>116.7</v>
      </c>
      <c r="U41" s="64">
        <v>112.5</v>
      </c>
      <c r="V41" s="64">
        <v>113.2</v>
      </c>
      <c r="W41" s="64">
        <v>112.9</v>
      </c>
      <c r="X41" s="64">
        <v>110.9</v>
      </c>
      <c r="Y41" s="64">
        <v>110.8</v>
      </c>
      <c r="Z41" s="64">
        <v>109.9</v>
      </c>
      <c r="AA41" s="64">
        <v>112</v>
      </c>
      <c r="AB41" s="64">
        <v>108.7</v>
      </c>
      <c r="AC41" s="64">
        <v>110.9</v>
      </c>
      <c r="AD41" s="64">
        <v>114</v>
      </c>
    </row>
    <row r="42" spans="1:30">
      <c r="A42" s="64" t="s">
        <v>33</v>
      </c>
      <c r="B42" s="64">
        <v>2014</v>
      </c>
      <c r="C42" s="64" t="s">
        <v>35</v>
      </c>
      <c r="D42" s="64">
        <v>121.9</v>
      </c>
      <c r="E42" s="64">
        <v>122</v>
      </c>
      <c r="F42" s="64">
        <v>124.5</v>
      </c>
      <c r="G42" s="64">
        <v>115.2</v>
      </c>
      <c r="H42" s="64">
        <v>102.5</v>
      </c>
      <c r="I42" s="64">
        <v>114.1</v>
      </c>
      <c r="J42" s="64">
        <v>111.5</v>
      </c>
      <c r="K42" s="64">
        <v>108.2</v>
      </c>
      <c r="L42" s="64">
        <v>95.4</v>
      </c>
      <c r="M42" s="64">
        <v>113.5</v>
      </c>
      <c r="N42" s="64">
        <v>112.1</v>
      </c>
      <c r="O42" s="64">
        <v>119.9</v>
      </c>
      <c r="P42" s="64">
        <v>115.2</v>
      </c>
      <c r="Q42" s="64">
        <v>116.2</v>
      </c>
      <c r="R42" s="64">
        <v>115.3</v>
      </c>
      <c r="S42" s="64">
        <v>111.7</v>
      </c>
      <c r="T42" s="64">
        <v>114.7</v>
      </c>
      <c r="U42" s="64">
        <v>112.5</v>
      </c>
      <c r="V42" s="64">
        <v>111.1</v>
      </c>
      <c r="W42" s="64">
        <v>112.6</v>
      </c>
      <c r="X42" s="64">
        <v>110.4</v>
      </c>
      <c r="Y42" s="64">
        <v>111.3</v>
      </c>
      <c r="Z42" s="64">
        <v>110.3</v>
      </c>
      <c r="AA42" s="64">
        <v>111.6</v>
      </c>
      <c r="AB42" s="64">
        <v>108.7</v>
      </c>
      <c r="AC42" s="64">
        <v>111</v>
      </c>
      <c r="AD42" s="64">
        <v>113.1</v>
      </c>
    </row>
    <row r="43" spans="1:30">
      <c r="A43" s="64" t="s">
        <v>34</v>
      </c>
      <c r="B43" s="64">
        <v>2014</v>
      </c>
      <c r="C43" s="64" t="s">
        <v>35</v>
      </c>
      <c r="D43" s="64">
        <v>120.2</v>
      </c>
      <c r="E43" s="64">
        <v>119.2</v>
      </c>
      <c r="F43" s="64">
        <v>122.5</v>
      </c>
      <c r="G43" s="64">
        <v>115.1</v>
      </c>
      <c r="H43" s="64">
        <v>106.6</v>
      </c>
      <c r="I43" s="64">
        <v>115.4</v>
      </c>
      <c r="J43" s="64">
        <v>114.5</v>
      </c>
      <c r="K43" s="64">
        <v>109.3</v>
      </c>
      <c r="L43" s="64">
        <v>99.2</v>
      </c>
      <c r="M43" s="64">
        <v>111.4</v>
      </c>
      <c r="N43" s="64">
        <v>112.6</v>
      </c>
      <c r="O43" s="64">
        <v>118.8</v>
      </c>
      <c r="P43" s="64">
        <v>115.3</v>
      </c>
      <c r="Q43" s="64">
        <v>114.7</v>
      </c>
      <c r="R43" s="64">
        <v>116.4</v>
      </c>
      <c r="S43" s="64">
        <v>113.3</v>
      </c>
      <c r="T43" s="64">
        <v>115.9</v>
      </c>
      <c r="U43" s="64">
        <v>112.5</v>
      </c>
      <c r="V43" s="64">
        <v>112.4</v>
      </c>
      <c r="W43" s="64">
        <v>112.8</v>
      </c>
      <c r="X43" s="64">
        <v>110.7</v>
      </c>
      <c r="Y43" s="64">
        <v>111.1</v>
      </c>
      <c r="Z43" s="64">
        <v>110.1</v>
      </c>
      <c r="AA43" s="64">
        <v>111.8</v>
      </c>
      <c r="AB43" s="64">
        <v>108.7</v>
      </c>
      <c r="AC43" s="64">
        <v>110.9</v>
      </c>
      <c r="AD43" s="64">
        <v>113.6</v>
      </c>
    </row>
    <row r="44" spans="1:30">
      <c r="A44" s="64" t="s">
        <v>30</v>
      </c>
      <c r="B44" s="64">
        <v>2014</v>
      </c>
      <c r="C44" s="64" t="s">
        <v>36</v>
      </c>
      <c r="D44" s="64">
        <v>120.1</v>
      </c>
      <c r="E44" s="64">
        <v>118.1</v>
      </c>
      <c r="F44" s="64">
        <v>120.7</v>
      </c>
      <c r="G44" s="64">
        <v>116.1</v>
      </c>
      <c r="H44" s="64">
        <v>109.3</v>
      </c>
      <c r="I44" s="64">
        <v>119.6</v>
      </c>
      <c r="J44" s="64">
        <v>117.9</v>
      </c>
      <c r="K44" s="64">
        <v>110.2</v>
      </c>
      <c r="L44" s="64">
        <v>101.2</v>
      </c>
      <c r="M44" s="64">
        <v>110.7</v>
      </c>
      <c r="N44" s="64">
        <v>113</v>
      </c>
      <c r="O44" s="64">
        <v>118.3</v>
      </c>
      <c r="P44" s="64">
        <v>116.2</v>
      </c>
      <c r="Q44" s="64">
        <v>114.6</v>
      </c>
      <c r="R44" s="64">
        <v>117.5</v>
      </c>
      <c r="S44" s="64">
        <v>114.9</v>
      </c>
      <c r="T44" s="64">
        <v>117.2</v>
      </c>
      <c r="U44" s="64">
        <v>113.2</v>
      </c>
      <c r="V44" s="64">
        <v>113.4</v>
      </c>
      <c r="W44" s="64">
        <v>113.4</v>
      </c>
      <c r="X44" s="64">
        <v>111.4</v>
      </c>
      <c r="Y44" s="64">
        <v>111.2</v>
      </c>
      <c r="Z44" s="64">
        <v>110.2</v>
      </c>
      <c r="AA44" s="64">
        <v>112.4</v>
      </c>
      <c r="AB44" s="64">
        <v>108.9</v>
      </c>
      <c r="AC44" s="64">
        <v>111.3</v>
      </c>
      <c r="AD44" s="64">
        <v>114.6</v>
      </c>
    </row>
    <row r="45" spans="1:30">
      <c r="A45" s="64" t="s">
        <v>33</v>
      </c>
      <c r="B45" s="64">
        <v>2014</v>
      </c>
      <c r="C45" s="64" t="s">
        <v>36</v>
      </c>
      <c r="D45" s="64">
        <v>122.1</v>
      </c>
      <c r="E45" s="64">
        <v>121.4</v>
      </c>
      <c r="F45" s="64">
        <v>121.5</v>
      </c>
      <c r="G45" s="64">
        <v>116.2</v>
      </c>
      <c r="H45" s="64">
        <v>102.8</v>
      </c>
      <c r="I45" s="64">
        <v>117.7</v>
      </c>
      <c r="J45" s="64">
        <v>113.3</v>
      </c>
      <c r="K45" s="64">
        <v>108.9</v>
      </c>
      <c r="L45" s="64">
        <v>96.3</v>
      </c>
      <c r="M45" s="64">
        <v>114.1</v>
      </c>
      <c r="N45" s="64">
        <v>112.2</v>
      </c>
      <c r="O45" s="64">
        <v>120.5</v>
      </c>
      <c r="P45" s="64">
        <v>116</v>
      </c>
      <c r="Q45" s="64">
        <v>116.7</v>
      </c>
      <c r="R45" s="64">
        <v>115.8</v>
      </c>
      <c r="S45" s="64">
        <v>112.1</v>
      </c>
      <c r="T45" s="64">
        <v>115.2</v>
      </c>
      <c r="U45" s="64">
        <v>113.2</v>
      </c>
      <c r="V45" s="64">
        <v>110.9</v>
      </c>
      <c r="W45" s="64">
        <v>113</v>
      </c>
      <c r="X45" s="64">
        <v>110.8</v>
      </c>
      <c r="Y45" s="64">
        <v>111.6</v>
      </c>
      <c r="Z45" s="64">
        <v>110.9</v>
      </c>
      <c r="AA45" s="64">
        <v>111.8</v>
      </c>
      <c r="AB45" s="64">
        <v>109.2</v>
      </c>
      <c r="AC45" s="64">
        <v>111.4</v>
      </c>
      <c r="AD45" s="64">
        <v>113.7</v>
      </c>
    </row>
    <row r="46" spans="1:30">
      <c r="A46" s="64" t="s">
        <v>34</v>
      </c>
      <c r="B46" s="64">
        <v>2014</v>
      </c>
      <c r="C46" s="64" t="s">
        <v>47</v>
      </c>
      <c r="D46" s="64">
        <v>120.7</v>
      </c>
      <c r="E46" s="64">
        <v>119.3</v>
      </c>
      <c r="F46" s="64">
        <v>121</v>
      </c>
      <c r="G46" s="64">
        <v>116.1</v>
      </c>
      <c r="H46" s="64">
        <v>106.9</v>
      </c>
      <c r="I46" s="64">
        <v>118.7</v>
      </c>
      <c r="J46" s="64">
        <v>116.3</v>
      </c>
      <c r="K46" s="64">
        <v>109.8</v>
      </c>
      <c r="L46" s="64">
        <v>99.6</v>
      </c>
      <c r="M46" s="64">
        <v>111.8</v>
      </c>
      <c r="N46" s="64">
        <v>112.7</v>
      </c>
      <c r="O46" s="64">
        <v>119.3</v>
      </c>
      <c r="P46" s="64">
        <v>116.1</v>
      </c>
      <c r="Q46" s="64">
        <v>115.2</v>
      </c>
      <c r="R46" s="64">
        <v>116.8</v>
      </c>
      <c r="S46" s="64">
        <v>113.7</v>
      </c>
      <c r="T46" s="64">
        <v>116.4</v>
      </c>
      <c r="U46" s="64">
        <v>113.2</v>
      </c>
      <c r="V46" s="64">
        <v>112.5</v>
      </c>
      <c r="W46" s="64">
        <v>113.2</v>
      </c>
      <c r="X46" s="64">
        <v>111.2</v>
      </c>
      <c r="Y46" s="64">
        <v>111.4</v>
      </c>
      <c r="Z46" s="64">
        <v>110.6</v>
      </c>
      <c r="AA46" s="64">
        <v>112</v>
      </c>
      <c r="AB46" s="64">
        <v>109</v>
      </c>
      <c r="AC46" s="64">
        <v>111.3</v>
      </c>
      <c r="AD46" s="64">
        <v>114.2</v>
      </c>
    </row>
    <row r="47" spans="1:30">
      <c r="A47" s="64" t="s">
        <v>30</v>
      </c>
      <c r="B47" s="64">
        <v>2014</v>
      </c>
      <c r="C47" s="64" t="s">
        <v>37</v>
      </c>
      <c r="D47" s="64">
        <v>120.2</v>
      </c>
      <c r="E47" s="64">
        <v>118.9</v>
      </c>
      <c r="F47" s="64">
        <v>118.1</v>
      </c>
      <c r="G47" s="64">
        <v>117</v>
      </c>
      <c r="H47" s="64">
        <v>109.7</v>
      </c>
      <c r="I47" s="64">
        <v>125.5</v>
      </c>
      <c r="J47" s="64">
        <v>120.5</v>
      </c>
      <c r="K47" s="64">
        <v>111</v>
      </c>
      <c r="L47" s="64">
        <v>102.6</v>
      </c>
      <c r="M47" s="64">
        <v>111.2</v>
      </c>
      <c r="N47" s="64">
        <v>113.5</v>
      </c>
      <c r="O47" s="64">
        <v>118.7</v>
      </c>
      <c r="P47" s="64">
        <v>117.2</v>
      </c>
      <c r="Q47" s="64">
        <v>115.4</v>
      </c>
      <c r="R47" s="64">
        <v>118.1</v>
      </c>
      <c r="S47" s="64">
        <v>116.1</v>
      </c>
      <c r="T47" s="64">
        <v>117.8</v>
      </c>
      <c r="U47" s="64">
        <v>113.9</v>
      </c>
      <c r="V47" s="64">
        <v>113.4</v>
      </c>
      <c r="W47" s="64">
        <v>113.7</v>
      </c>
      <c r="X47" s="64">
        <v>111.8</v>
      </c>
      <c r="Y47" s="64">
        <v>111.2</v>
      </c>
      <c r="Z47" s="64">
        <v>110.5</v>
      </c>
      <c r="AA47" s="64">
        <v>113</v>
      </c>
      <c r="AB47" s="64">
        <v>108.9</v>
      </c>
      <c r="AC47" s="64">
        <v>111.5</v>
      </c>
      <c r="AD47" s="64">
        <v>115.4</v>
      </c>
    </row>
    <row r="48" spans="1:30">
      <c r="A48" s="64" t="s">
        <v>33</v>
      </c>
      <c r="B48" s="64">
        <v>2014</v>
      </c>
      <c r="C48" s="64" t="s">
        <v>37</v>
      </c>
      <c r="D48" s="64">
        <v>122.5</v>
      </c>
      <c r="E48" s="64">
        <v>121.7</v>
      </c>
      <c r="F48" s="64">
        <v>113.3</v>
      </c>
      <c r="G48" s="64">
        <v>117</v>
      </c>
      <c r="H48" s="64">
        <v>103.1</v>
      </c>
      <c r="I48" s="64">
        <v>126.7</v>
      </c>
      <c r="J48" s="64">
        <v>121.2</v>
      </c>
      <c r="K48" s="64">
        <v>111</v>
      </c>
      <c r="L48" s="64">
        <v>100.3</v>
      </c>
      <c r="M48" s="64">
        <v>115.3</v>
      </c>
      <c r="N48" s="64">
        <v>112.7</v>
      </c>
      <c r="O48" s="64">
        <v>121</v>
      </c>
      <c r="P48" s="64">
        <v>118.2</v>
      </c>
      <c r="Q48" s="64">
        <v>117.6</v>
      </c>
      <c r="R48" s="64">
        <v>116.3</v>
      </c>
      <c r="S48" s="64">
        <v>112.5</v>
      </c>
      <c r="T48" s="64">
        <v>115.7</v>
      </c>
      <c r="U48" s="64">
        <v>113.9</v>
      </c>
      <c r="V48" s="64">
        <v>110.9</v>
      </c>
      <c r="W48" s="64">
        <v>113.4</v>
      </c>
      <c r="X48" s="64">
        <v>111</v>
      </c>
      <c r="Y48" s="64">
        <v>111.2</v>
      </c>
      <c r="Z48" s="64">
        <v>111.2</v>
      </c>
      <c r="AA48" s="64">
        <v>112.5</v>
      </c>
      <c r="AB48" s="64">
        <v>109.1</v>
      </c>
      <c r="AC48" s="64">
        <v>111.4</v>
      </c>
      <c r="AD48" s="64">
        <v>114.7</v>
      </c>
    </row>
    <row r="49" spans="1:30">
      <c r="A49" s="64" t="s">
        <v>34</v>
      </c>
      <c r="B49" s="64">
        <v>2014</v>
      </c>
      <c r="C49" s="64" t="s">
        <v>37</v>
      </c>
      <c r="D49" s="64">
        <v>120.9</v>
      </c>
      <c r="E49" s="64">
        <v>119.9</v>
      </c>
      <c r="F49" s="64">
        <v>116.2</v>
      </c>
      <c r="G49" s="64">
        <v>117</v>
      </c>
      <c r="H49" s="64">
        <v>107.3</v>
      </c>
      <c r="I49" s="64">
        <v>126.1</v>
      </c>
      <c r="J49" s="64">
        <v>120.7</v>
      </c>
      <c r="K49" s="64">
        <v>111</v>
      </c>
      <c r="L49" s="64">
        <v>101.8</v>
      </c>
      <c r="M49" s="64">
        <v>112.6</v>
      </c>
      <c r="N49" s="64">
        <v>113.2</v>
      </c>
      <c r="O49" s="64">
        <v>119.8</v>
      </c>
      <c r="P49" s="64">
        <v>117.6</v>
      </c>
      <c r="Q49" s="64">
        <v>116</v>
      </c>
      <c r="R49" s="64">
        <v>117.4</v>
      </c>
      <c r="S49" s="64">
        <v>114.6</v>
      </c>
      <c r="T49" s="64">
        <v>117</v>
      </c>
      <c r="U49" s="64">
        <v>113.9</v>
      </c>
      <c r="V49" s="64">
        <v>112.5</v>
      </c>
      <c r="W49" s="64">
        <v>113.6</v>
      </c>
      <c r="X49" s="64">
        <v>111.5</v>
      </c>
      <c r="Y49" s="64">
        <v>111.2</v>
      </c>
      <c r="Z49" s="64">
        <v>110.9</v>
      </c>
      <c r="AA49" s="64">
        <v>112.7</v>
      </c>
      <c r="AB49" s="64">
        <v>109</v>
      </c>
      <c r="AC49" s="64">
        <v>111.5</v>
      </c>
      <c r="AD49" s="64">
        <v>115.1</v>
      </c>
    </row>
    <row r="50" spans="1:30">
      <c r="A50" s="64" t="s">
        <v>30</v>
      </c>
      <c r="B50" s="64">
        <v>2014</v>
      </c>
      <c r="C50" s="64" t="s">
        <v>38</v>
      </c>
      <c r="D50" s="64">
        <v>120.3</v>
      </c>
      <c r="E50" s="64">
        <v>120.2</v>
      </c>
      <c r="F50" s="64">
        <v>116.9</v>
      </c>
      <c r="G50" s="64">
        <v>118</v>
      </c>
      <c r="H50" s="64">
        <v>110.1</v>
      </c>
      <c r="I50" s="64">
        <v>126.3</v>
      </c>
      <c r="J50" s="64">
        <v>123.9</v>
      </c>
      <c r="K50" s="64">
        <v>111.5</v>
      </c>
      <c r="L50" s="64">
        <v>103.5</v>
      </c>
      <c r="M50" s="64">
        <v>111.6</v>
      </c>
      <c r="N50" s="64">
        <v>114.2</v>
      </c>
      <c r="O50" s="64">
        <v>119.2</v>
      </c>
      <c r="P50" s="64">
        <v>118.2</v>
      </c>
      <c r="Q50" s="64">
        <v>116.3</v>
      </c>
      <c r="R50" s="64">
        <v>118.7</v>
      </c>
      <c r="S50" s="64">
        <v>116.8</v>
      </c>
      <c r="T50" s="64">
        <v>118.5</v>
      </c>
      <c r="U50" s="64">
        <v>114.3</v>
      </c>
      <c r="V50" s="64">
        <v>113.4</v>
      </c>
      <c r="W50" s="64">
        <v>114.1</v>
      </c>
      <c r="X50" s="64">
        <v>112.1</v>
      </c>
      <c r="Y50" s="64">
        <v>111.4</v>
      </c>
      <c r="Z50" s="64">
        <v>110.9</v>
      </c>
      <c r="AA50" s="64">
        <v>113.1</v>
      </c>
      <c r="AB50" s="64">
        <v>108.9</v>
      </c>
      <c r="AC50" s="64">
        <v>111.8</v>
      </c>
      <c r="AD50" s="64">
        <v>116</v>
      </c>
    </row>
    <row r="51" spans="1:30">
      <c r="A51" s="64" t="s">
        <v>33</v>
      </c>
      <c r="B51" s="64">
        <v>2014</v>
      </c>
      <c r="C51" s="64" t="s">
        <v>38</v>
      </c>
      <c r="D51" s="64">
        <v>122.7</v>
      </c>
      <c r="E51" s="64">
        <v>124.1</v>
      </c>
      <c r="F51" s="64">
        <v>114.2</v>
      </c>
      <c r="G51" s="64">
        <v>119.1</v>
      </c>
      <c r="H51" s="64">
        <v>103.5</v>
      </c>
      <c r="I51" s="64">
        <v>129.19999999999999</v>
      </c>
      <c r="J51" s="64">
        <v>127</v>
      </c>
      <c r="K51" s="64">
        <v>112.6</v>
      </c>
      <c r="L51" s="64">
        <v>101.3</v>
      </c>
      <c r="M51" s="64">
        <v>117</v>
      </c>
      <c r="N51" s="64">
        <v>112.9</v>
      </c>
      <c r="O51" s="64">
        <v>121.7</v>
      </c>
      <c r="P51" s="64">
        <v>120</v>
      </c>
      <c r="Q51" s="64">
        <v>118.3</v>
      </c>
      <c r="R51" s="64">
        <v>116.8</v>
      </c>
      <c r="S51" s="64">
        <v>112.9</v>
      </c>
      <c r="T51" s="64">
        <v>116.2</v>
      </c>
      <c r="U51" s="64">
        <v>114.3</v>
      </c>
      <c r="V51" s="64">
        <v>111.1</v>
      </c>
      <c r="W51" s="64">
        <v>114.1</v>
      </c>
      <c r="X51" s="64">
        <v>111.2</v>
      </c>
      <c r="Y51" s="64">
        <v>111.3</v>
      </c>
      <c r="Z51" s="64">
        <v>111.5</v>
      </c>
      <c r="AA51" s="64">
        <v>112.9</v>
      </c>
      <c r="AB51" s="64">
        <v>109.3</v>
      </c>
      <c r="AC51" s="64">
        <v>111.7</v>
      </c>
      <c r="AD51" s="64">
        <v>115.6</v>
      </c>
    </row>
    <row r="52" spans="1:30">
      <c r="A52" s="64" t="s">
        <v>34</v>
      </c>
      <c r="B52" s="64">
        <v>2014</v>
      </c>
      <c r="C52" s="64" t="s">
        <v>38</v>
      </c>
      <c r="D52" s="64">
        <v>121.1</v>
      </c>
      <c r="E52" s="64">
        <v>121.6</v>
      </c>
      <c r="F52" s="64">
        <v>115.9</v>
      </c>
      <c r="G52" s="64">
        <v>118.4</v>
      </c>
      <c r="H52" s="64">
        <v>107.7</v>
      </c>
      <c r="I52" s="64">
        <v>127.7</v>
      </c>
      <c r="J52" s="64">
        <v>125</v>
      </c>
      <c r="K52" s="64">
        <v>111.9</v>
      </c>
      <c r="L52" s="64">
        <v>102.8</v>
      </c>
      <c r="M52" s="64">
        <v>113.4</v>
      </c>
      <c r="N52" s="64">
        <v>113.7</v>
      </c>
      <c r="O52" s="64">
        <v>120.4</v>
      </c>
      <c r="P52" s="64">
        <v>118.9</v>
      </c>
      <c r="Q52" s="64">
        <v>116.8</v>
      </c>
      <c r="R52" s="64">
        <v>118</v>
      </c>
      <c r="S52" s="64">
        <v>115.2</v>
      </c>
      <c r="T52" s="64">
        <v>117.6</v>
      </c>
      <c r="U52" s="64">
        <v>114.3</v>
      </c>
      <c r="V52" s="64">
        <v>112.5</v>
      </c>
      <c r="W52" s="64">
        <v>114.1</v>
      </c>
      <c r="X52" s="64">
        <v>111.8</v>
      </c>
      <c r="Y52" s="64">
        <v>111.3</v>
      </c>
      <c r="Z52" s="64">
        <v>111.2</v>
      </c>
      <c r="AA52" s="64">
        <v>113</v>
      </c>
      <c r="AB52" s="64">
        <v>109.1</v>
      </c>
      <c r="AC52" s="64">
        <v>111.8</v>
      </c>
      <c r="AD52" s="64">
        <v>115.8</v>
      </c>
    </row>
    <row r="53" spans="1:30">
      <c r="A53" s="64" t="s">
        <v>30</v>
      </c>
      <c r="B53" s="64">
        <v>2014</v>
      </c>
      <c r="C53" s="64" t="s">
        <v>39</v>
      </c>
      <c r="D53" s="64">
        <v>120.7</v>
      </c>
      <c r="E53" s="64">
        <v>121.6</v>
      </c>
      <c r="F53" s="64">
        <v>116.1</v>
      </c>
      <c r="G53" s="64">
        <v>119.3</v>
      </c>
      <c r="H53" s="64">
        <v>110.3</v>
      </c>
      <c r="I53" s="64">
        <v>125.8</v>
      </c>
      <c r="J53" s="64">
        <v>129.30000000000001</v>
      </c>
      <c r="K53" s="64">
        <v>112.2</v>
      </c>
      <c r="L53" s="64">
        <v>103.6</v>
      </c>
      <c r="M53" s="64">
        <v>112.3</v>
      </c>
      <c r="N53" s="64">
        <v>114.9</v>
      </c>
      <c r="O53" s="64">
        <v>120.1</v>
      </c>
      <c r="P53" s="64">
        <v>119.5</v>
      </c>
      <c r="Q53" s="64">
        <v>117.3</v>
      </c>
      <c r="R53" s="64">
        <v>119.7</v>
      </c>
      <c r="S53" s="64">
        <v>117.3</v>
      </c>
      <c r="T53" s="64">
        <v>119.3</v>
      </c>
      <c r="U53" s="64">
        <v>113.9</v>
      </c>
      <c r="V53" s="64">
        <v>114.4</v>
      </c>
      <c r="W53" s="64">
        <v>114.9</v>
      </c>
      <c r="X53" s="64">
        <v>112.8</v>
      </c>
      <c r="Y53" s="64">
        <v>112.2</v>
      </c>
      <c r="Z53" s="64">
        <v>111.4</v>
      </c>
      <c r="AA53" s="64">
        <v>114.3</v>
      </c>
      <c r="AB53" s="64">
        <v>108</v>
      </c>
      <c r="AC53" s="64">
        <v>112.3</v>
      </c>
      <c r="AD53" s="64">
        <v>117</v>
      </c>
    </row>
    <row r="54" spans="1:30">
      <c r="A54" s="64" t="s">
        <v>33</v>
      </c>
      <c r="B54" s="64">
        <v>2014</v>
      </c>
      <c r="C54" s="64" t="s">
        <v>39</v>
      </c>
      <c r="D54" s="64">
        <v>123.1</v>
      </c>
      <c r="E54" s="64">
        <v>125.9</v>
      </c>
      <c r="F54" s="64">
        <v>115.4</v>
      </c>
      <c r="G54" s="64">
        <v>120.4</v>
      </c>
      <c r="H54" s="64">
        <v>103.4</v>
      </c>
      <c r="I54" s="64">
        <v>131.19999999999999</v>
      </c>
      <c r="J54" s="64">
        <v>137.5</v>
      </c>
      <c r="K54" s="64">
        <v>112.8</v>
      </c>
      <c r="L54" s="64">
        <v>101.4</v>
      </c>
      <c r="M54" s="64">
        <v>118.3</v>
      </c>
      <c r="N54" s="64">
        <v>113.2</v>
      </c>
      <c r="O54" s="64">
        <v>122.4</v>
      </c>
      <c r="P54" s="64">
        <v>122</v>
      </c>
      <c r="Q54" s="64">
        <v>119</v>
      </c>
      <c r="R54" s="64">
        <v>117.4</v>
      </c>
      <c r="S54" s="64">
        <v>113.2</v>
      </c>
      <c r="T54" s="64">
        <v>116.7</v>
      </c>
      <c r="U54" s="64">
        <v>113.9</v>
      </c>
      <c r="V54" s="64">
        <v>111.2</v>
      </c>
      <c r="W54" s="64">
        <v>114.3</v>
      </c>
      <c r="X54" s="64">
        <v>111.4</v>
      </c>
      <c r="Y54" s="64">
        <v>111.5</v>
      </c>
      <c r="Z54" s="64">
        <v>111.8</v>
      </c>
      <c r="AA54" s="64">
        <v>115.1</v>
      </c>
      <c r="AB54" s="64">
        <v>108.7</v>
      </c>
      <c r="AC54" s="64">
        <v>112.2</v>
      </c>
      <c r="AD54" s="64">
        <v>116.4</v>
      </c>
    </row>
    <row r="55" spans="1:30">
      <c r="A55" s="64" t="s">
        <v>34</v>
      </c>
      <c r="B55" s="64">
        <v>2014</v>
      </c>
      <c r="C55" s="64" t="s">
        <v>39</v>
      </c>
      <c r="D55" s="64">
        <v>121.5</v>
      </c>
      <c r="E55" s="64">
        <v>123.1</v>
      </c>
      <c r="F55" s="64">
        <v>115.8</v>
      </c>
      <c r="G55" s="64">
        <v>119.7</v>
      </c>
      <c r="H55" s="64">
        <v>107.8</v>
      </c>
      <c r="I55" s="64">
        <v>128.30000000000001</v>
      </c>
      <c r="J55" s="64">
        <v>132.1</v>
      </c>
      <c r="K55" s="64">
        <v>112.4</v>
      </c>
      <c r="L55" s="64">
        <v>102.9</v>
      </c>
      <c r="M55" s="64">
        <v>114.3</v>
      </c>
      <c r="N55" s="64">
        <v>114.2</v>
      </c>
      <c r="O55" s="64">
        <v>121.2</v>
      </c>
      <c r="P55" s="64">
        <v>120.4</v>
      </c>
      <c r="Q55" s="64">
        <v>117.8</v>
      </c>
      <c r="R55" s="64">
        <v>118.8</v>
      </c>
      <c r="S55" s="64">
        <v>115.6</v>
      </c>
      <c r="T55" s="64">
        <v>118.3</v>
      </c>
      <c r="U55" s="64">
        <v>113.9</v>
      </c>
      <c r="V55" s="64">
        <v>113.2</v>
      </c>
      <c r="W55" s="64">
        <v>114.6</v>
      </c>
      <c r="X55" s="64">
        <v>112.3</v>
      </c>
      <c r="Y55" s="64">
        <v>111.8</v>
      </c>
      <c r="Z55" s="64">
        <v>111.6</v>
      </c>
      <c r="AA55" s="64">
        <v>114.8</v>
      </c>
      <c r="AB55" s="64">
        <v>108.3</v>
      </c>
      <c r="AC55" s="64">
        <v>112.3</v>
      </c>
      <c r="AD55" s="64">
        <v>116.7</v>
      </c>
    </row>
    <row r="56" spans="1:30">
      <c r="A56" s="64" t="s">
        <v>30</v>
      </c>
      <c r="B56" s="64">
        <v>2014</v>
      </c>
      <c r="C56" s="64" t="s">
        <v>40</v>
      </c>
      <c r="D56" s="64">
        <v>121.7</v>
      </c>
      <c r="E56" s="64">
        <v>122.5</v>
      </c>
      <c r="F56" s="64">
        <v>117.7</v>
      </c>
      <c r="G56" s="64">
        <v>120.6</v>
      </c>
      <c r="H56" s="64">
        <v>110.4</v>
      </c>
      <c r="I56" s="64">
        <v>129.1</v>
      </c>
      <c r="J56" s="64">
        <v>150.1</v>
      </c>
      <c r="K56" s="64">
        <v>113.2</v>
      </c>
      <c r="L56" s="64">
        <v>104.8</v>
      </c>
      <c r="M56" s="64">
        <v>113.3</v>
      </c>
      <c r="N56" s="64">
        <v>115.6</v>
      </c>
      <c r="O56" s="64">
        <v>120.9</v>
      </c>
      <c r="P56" s="64">
        <v>123.3</v>
      </c>
      <c r="Q56" s="64">
        <v>118</v>
      </c>
      <c r="R56" s="64">
        <v>120.7</v>
      </c>
      <c r="S56" s="64">
        <v>118.3</v>
      </c>
      <c r="T56" s="64">
        <v>120.3</v>
      </c>
      <c r="U56" s="64">
        <v>114.8</v>
      </c>
      <c r="V56" s="64">
        <v>115.3</v>
      </c>
      <c r="W56" s="64">
        <v>115.4</v>
      </c>
      <c r="X56" s="64">
        <v>113.4</v>
      </c>
      <c r="Y56" s="64">
        <v>113.2</v>
      </c>
      <c r="Z56" s="64">
        <v>111.8</v>
      </c>
      <c r="AA56" s="64">
        <v>115.5</v>
      </c>
      <c r="AB56" s="64">
        <v>108.8</v>
      </c>
      <c r="AC56" s="64">
        <v>113.1</v>
      </c>
      <c r="AD56" s="64">
        <v>119.5</v>
      </c>
    </row>
    <row r="57" spans="1:30">
      <c r="A57" s="64" t="s">
        <v>33</v>
      </c>
      <c r="B57" s="64">
        <v>2014</v>
      </c>
      <c r="C57" s="64" t="s">
        <v>40</v>
      </c>
      <c r="D57" s="64">
        <v>123.8</v>
      </c>
      <c r="E57" s="64">
        <v>126.4</v>
      </c>
      <c r="F57" s="64">
        <v>118</v>
      </c>
      <c r="G57" s="64">
        <v>121.6</v>
      </c>
      <c r="H57" s="64">
        <v>103.5</v>
      </c>
      <c r="I57" s="64">
        <v>133.69999999999999</v>
      </c>
      <c r="J57" s="64">
        <v>172.4</v>
      </c>
      <c r="K57" s="64">
        <v>113.1</v>
      </c>
      <c r="L57" s="64">
        <v>102.7</v>
      </c>
      <c r="M57" s="64">
        <v>120</v>
      </c>
      <c r="N57" s="64">
        <v>113.8</v>
      </c>
      <c r="O57" s="64">
        <v>123.4</v>
      </c>
      <c r="P57" s="64">
        <v>127.1</v>
      </c>
      <c r="Q57" s="64">
        <v>121</v>
      </c>
      <c r="R57" s="64">
        <v>118</v>
      </c>
      <c r="S57" s="64">
        <v>113.6</v>
      </c>
      <c r="T57" s="64">
        <v>117.4</v>
      </c>
      <c r="U57" s="64">
        <v>114.8</v>
      </c>
      <c r="V57" s="64">
        <v>111.6</v>
      </c>
      <c r="W57" s="64">
        <v>114.9</v>
      </c>
      <c r="X57" s="64">
        <v>111.5</v>
      </c>
      <c r="Y57" s="64">
        <v>113</v>
      </c>
      <c r="Z57" s="64">
        <v>112.4</v>
      </c>
      <c r="AA57" s="64">
        <v>117.8</v>
      </c>
      <c r="AB57" s="64">
        <v>109.7</v>
      </c>
      <c r="AC57" s="64">
        <v>113.5</v>
      </c>
      <c r="AD57" s="64">
        <v>118.9</v>
      </c>
    </row>
    <row r="58" spans="1:30">
      <c r="A58" s="64" t="s">
        <v>34</v>
      </c>
      <c r="B58" s="64">
        <v>2014</v>
      </c>
      <c r="C58" s="64" t="s">
        <v>40</v>
      </c>
      <c r="D58" s="64">
        <v>122.4</v>
      </c>
      <c r="E58" s="64">
        <v>123.9</v>
      </c>
      <c r="F58" s="64">
        <v>117.8</v>
      </c>
      <c r="G58" s="64">
        <v>121</v>
      </c>
      <c r="H58" s="64">
        <v>107.9</v>
      </c>
      <c r="I58" s="64">
        <v>131.19999999999999</v>
      </c>
      <c r="J58" s="64">
        <v>157.69999999999999</v>
      </c>
      <c r="K58" s="64">
        <v>113.2</v>
      </c>
      <c r="L58" s="64">
        <v>104.1</v>
      </c>
      <c r="M58" s="64">
        <v>115.5</v>
      </c>
      <c r="N58" s="64">
        <v>114.8</v>
      </c>
      <c r="O58" s="64">
        <v>122.1</v>
      </c>
      <c r="P58" s="64">
        <v>124.7</v>
      </c>
      <c r="Q58" s="64">
        <v>118.8</v>
      </c>
      <c r="R58" s="64">
        <v>119.6</v>
      </c>
      <c r="S58" s="64">
        <v>116.3</v>
      </c>
      <c r="T58" s="64">
        <v>119.1</v>
      </c>
      <c r="U58" s="64">
        <v>114.8</v>
      </c>
      <c r="V58" s="64">
        <v>113.9</v>
      </c>
      <c r="W58" s="64">
        <v>115.2</v>
      </c>
      <c r="X58" s="64">
        <v>112.7</v>
      </c>
      <c r="Y58" s="64">
        <v>113.1</v>
      </c>
      <c r="Z58" s="64">
        <v>112.1</v>
      </c>
      <c r="AA58" s="64">
        <v>116.8</v>
      </c>
      <c r="AB58" s="64">
        <v>109.2</v>
      </c>
      <c r="AC58" s="64">
        <v>113.3</v>
      </c>
      <c r="AD58" s="64">
        <v>119.2</v>
      </c>
    </row>
    <row r="59" spans="1:30">
      <c r="A59" s="64" t="s">
        <v>30</v>
      </c>
      <c r="B59" s="64">
        <v>2014</v>
      </c>
      <c r="C59" s="64" t="s">
        <v>41</v>
      </c>
      <c r="D59" s="64">
        <v>121.8</v>
      </c>
      <c r="E59" s="64">
        <v>122.8</v>
      </c>
      <c r="F59" s="64">
        <v>117.8</v>
      </c>
      <c r="G59" s="64">
        <v>121.9</v>
      </c>
      <c r="H59" s="64">
        <v>110.6</v>
      </c>
      <c r="I59" s="64">
        <v>129.69999999999999</v>
      </c>
      <c r="J59" s="64">
        <v>161.1</v>
      </c>
      <c r="K59" s="64">
        <v>114.1</v>
      </c>
      <c r="L59" s="64">
        <v>105.1</v>
      </c>
      <c r="M59" s="64">
        <v>114.6</v>
      </c>
      <c r="N59" s="64">
        <v>115.8</v>
      </c>
      <c r="O59" s="64">
        <v>121.7</v>
      </c>
      <c r="P59" s="64">
        <v>125.3</v>
      </c>
      <c r="Q59" s="64">
        <v>118.8</v>
      </c>
      <c r="R59" s="64">
        <v>120.9</v>
      </c>
      <c r="S59" s="64">
        <v>118.8</v>
      </c>
      <c r="T59" s="64">
        <v>120.7</v>
      </c>
      <c r="U59" s="64">
        <v>115.5</v>
      </c>
      <c r="V59" s="64">
        <v>115.4</v>
      </c>
      <c r="W59" s="64">
        <v>115.9</v>
      </c>
      <c r="X59" s="64">
        <v>114</v>
      </c>
      <c r="Y59" s="64">
        <v>113.2</v>
      </c>
      <c r="Z59" s="64">
        <v>112.2</v>
      </c>
      <c r="AA59" s="64">
        <v>116.2</v>
      </c>
      <c r="AB59" s="64">
        <v>109.4</v>
      </c>
      <c r="AC59" s="64">
        <v>113.5</v>
      </c>
      <c r="AD59" s="64">
        <v>120.7</v>
      </c>
    </row>
    <row r="60" spans="1:30">
      <c r="A60" s="64" t="s">
        <v>33</v>
      </c>
      <c r="B60" s="64">
        <v>2014</v>
      </c>
      <c r="C60" s="64" t="s">
        <v>41</v>
      </c>
      <c r="D60" s="64">
        <v>124.8</v>
      </c>
      <c r="E60" s="64">
        <v>127.3</v>
      </c>
      <c r="F60" s="64">
        <v>116.5</v>
      </c>
      <c r="G60" s="64">
        <v>122.2</v>
      </c>
      <c r="H60" s="64">
        <v>103.6</v>
      </c>
      <c r="I60" s="64">
        <v>132.69999999999999</v>
      </c>
      <c r="J60" s="64">
        <v>181.9</v>
      </c>
      <c r="K60" s="64">
        <v>115.2</v>
      </c>
      <c r="L60" s="64">
        <v>102.7</v>
      </c>
      <c r="M60" s="64">
        <v>122.1</v>
      </c>
      <c r="N60" s="64">
        <v>114.4</v>
      </c>
      <c r="O60" s="64">
        <v>124.7</v>
      </c>
      <c r="P60" s="64">
        <v>128.9</v>
      </c>
      <c r="Q60" s="64">
        <v>123</v>
      </c>
      <c r="R60" s="64">
        <v>118.6</v>
      </c>
      <c r="S60" s="64">
        <v>114.1</v>
      </c>
      <c r="T60" s="64">
        <v>117.9</v>
      </c>
      <c r="U60" s="64">
        <v>115.5</v>
      </c>
      <c r="V60" s="64">
        <v>111.8</v>
      </c>
      <c r="W60" s="64">
        <v>115.3</v>
      </c>
      <c r="X60" s="64">
        <v>112.2</v>
      </c>
      <c r="Y60" s="64">
        <v>112.5</v>
      </c>
      <c r="Z60" s="64">
        <v>112.9</v>
      </c>
      <c r="AA60" s="64">
        <v>119.2</v>
      </c>
      <c r="AB60" s="64">
        <v>110.5</v>
      </c>
      <c r="AC60" s="64">
        <v>113.9</v>
      </c>
      <c r="AD60" s="64">
        <v>119.9</v>
      </c>
    </row>
    <row r="61" spans="1:30">
      <c r="A61" s="64" t="s">
        <v>34</v>
      </c>
      <c r="B61" s="64">
        <v>2014</v>
      </c>
      <c r="C61" s="64" t="s">
        <v>41</v>
      </c>
      <c r="D61" s="64">
        <v>122.7</v>
      </c>
      <c r="E61" s="64">
        <v>124.4</v>
      </c>
      <c r="F61" s="64">
        <v>117.3</v>
      </c>
      <c r="G61" s="64">
        <v>122</v>
      </c>
      <c r="H61" s="64">
        <v>108</v>
      </c>
      <c r="I61" s="64">
        <v>131.1</v>
      </c>
      <c r="J61" s="64">
        <v>168.2</v>
      </c>
      <c r="K61" s="64">
        <v>114.5</v>
      </c>
      <c r="L61" s="64">
        <v>104.3</v>
      </c>
      <c r="M61" s="64">
        <v>117.1</v>
      </c>
      <c r="N61" s="64">
        <v>115.2</v>
      </c>
      <c r="O61" s="64">
        <v>123.1</v>
      </c>
      <c r="P61" s="64">
        <v>126.6</v>
      </c>
      <c r="Q61" s="64">
        <v>119.9</v>
      </c>
      <c r="R61" s="64">
        <v>120</v>
      </c>
      <c r="S61" s="64">
        <v>116.8</v>
      </c>
      <c r="T61" s="64">
        <v>119.6</v>
      </c>
      <c r="U61" s="64">
        <v>115.5</v>
      </c>
      <c r="V61" s="64">
        <v>114</v>
      </c>
      <c r="W61" s="64">
        <v>115.6</v>
      </c>
      <c r="X61" s="64">
        <v>113.3</v>
      </c>
      <c r="Y61" s="64">
        <v>112.8</v>
      </c>
      <c r="Z61" s="64">
        <v>112.6</v>
      </c>
      <c r="AA61" s="64">
        <v>118</v>
      </c>
      <c r="AB61" s="64">
        <v>109.9</v>
      </c>
      <c r="AC61" s="64">
        <v>113.7</v>
      </c>
      <c r="AD61" s="64">
        <v>120.3</v>
      </c>
    </row>
    <row r="62" spans="1:30">
      <c r="A62" s="64" t="s">
        <v>30</v>
      </c>
      <c r="B62" s="64">
        <v>2014</v>
      </c>
      <c r="C62" s="64" t="s">
        <v>42</v>
      </c>
      <c r="D62" s="64">
        <v>122.3</v>
      </c>
      <c r="E62" s="64">
        <v>122.4</v>
      </c>
      <c r="F62" s="64">
        <v>117.8</v>
      </c>
      <c r="G62" s="64">
        <v>122.7</v>
      </c>
      <c r="H62" s="64">
        <v>110.4</v>
      </c>
      <c r="I62" s="64">
        <v>129.80000000000001</v>
      </c>
      <c r="J62" s="64">
        <v>158.80000000000001</v>
      </c>
      <c r="K62" s="64">
        <v>115</v>
      </c>
      <c r="L62" s="64">
        <v>104.7</v>
      </c>
      <c r="M62" s="64">
        <v>114.9</v>
      </c>
      <c r="N62" s="64">
        <v>116.5</v>
      </c>
      <c r="O62" s="64">
        <v>122.6</v>
      </c>
      <c r="P62" s="64">
        <v>125.3</v>
      </c>
      <c r="Q62" s="64">
        <v>119.5</v>
      </c>
      <c r="R62" s="64">
        <v>121.7</v>
      </c>
      <c r="S62" s="64">
        <v>119.2</v>
      </c>
      <c r="T62" s="64">
        <v>121.3</v>
      </c>
      <c r="U62" s="64">
        <v>116.1</v>
      </c>
      <c r="V62" s="64">
        <v>115.8</v>
      </c>
      <c r="W62" s="64">
        <v>116.7</v>
      </c>
      <c r="X62" s="64">
        <v>114.5</v>
      </c>
      <c r="Y62" s="64">
        <v>112.8</v>
      </c>
      <c r="Z62" s="64">
        <v>112.6</v>
      </c>
      <c r="AA62" s="64">
        <v>116.6</v>
      </c>
      <c r="AB62" s="64">
        <v>109.1</v>
      </c>
      <c r="AC62" s="64">
        <v>113.7</v>
      </c>
      <c r="AD62" s="64">
        <v>120.9</v>
      </c>
    </row>
    <row r="63" spans="1:30">
      <c r="A63" s="64" t="s">
        <v>33</v>
      </c>
      <c r="B63" s="64">
        <v>2014</v>
      </c>
      <c r="C63" s="64" t="s">
        <v>42</v>
      </c>
      <c r="D63" s="64">
        <v>124.2</v>
      </c>
      <c r="E63" s="64">
        <v>125.4</v>
      </c>
      <c r="F63" s="64">
        <v>116.4</v>
      </c>
      <c r="G63" s="64">
        <v>122.7</v>
      </c>
      <c r="H63" s="64">
        <v>103.5</v>
      </c>
      <c r="I63" s="64">
        <v>124.5</v>
      </c>
      <c r="J63" s="64">
        <v>168.6</v>
      </c>
      <c r="K63" s="64">
        <v>116.9</v>
      </c>
      <c r="L63" s="64">
        <v>101.9</v>
      </c>
      <c r="M63" s="64">
        <v>122.9</v>
      </c>
      <c r="N63" s="64">
        <v>114.8</v>
      </c>
      <c r="O63" s="64">
        <v>125.2</v>
      </c>
      <c r="P63" s="64">
        <v>126.7</v>
      </c>
      <c r="Q63" s="64">
        <v>124.3</v>
      </c>
      <c r="R63" s="64">
        <v>119.2</v>
      </c>
      <c r="S63" s="64">
        <v>114.5</v>
      </c>
      <c r="T63" s="64">
        <v>118.4</v>
      </c>
      <c r="U63" s="64">
        <v>116.1</v>
      </c>
      <c r="V63" s="64">
        <v>111.8</v>
      </c>
      <c r="W63" s="64">
        <v>115.5</v>
      </c>
      <c r="X63" s="64">
        <v>112.3</v>
      </c>
      <c r="Y63" s="64">
        <v>111.2</v>
      </c>
      <c r="Z63" s="64">
        <v>113.4</v>
      </c>
      <c r="AA63" s="64">
        <v>120</v>
      </c>
      <c r="AB63" s="64">
        <v>110</v>
      </c>
      <c r="AC63" s="64">
        <v>113.6</v>
      </c>
      <c r="AD63" s="64">
        <v>119.2</v>
      </c>
    </row>
    <row r="64" spans="1:30">
      <c r="A64" s="64" t="s">
        <v>34</v>
      </c>
      <c r="B64" s="64">
        <v>2014</v>
      </c>
      <c r="C64" s="64" t="s">
        <v>42</v>
      </c>
      <c r="D64" s="64">
        <v>122.9</v>
      </c>
      <c r="E64" s="64">
        <v>123.5</v>
      </c>
      <c r="F64" s="64">
        <v>117.3</v>
      </c>
      <c r="G64" s="64">
        <v>122.7</v>
      </c>
      <c r="H64" s="64">
        <v>107.9</v>
      </c>
      <c r="I64" s="64">
        <v>127.3</v>
      </c>
      <c r="J64" s="64">
        <v>162.1</v>
      </c>
      <c r="K64" s="64">
        <v>115.6</v>
      </c>
      <c r="L64" s="64">
        <v>103.8</v>
      </c>
      <c r="M64" s="64">
        <v>117.6</v>
      </c>
      <c r="N64" s="64">
        <v>115.8</v>
      </c>
      <c r="O64" s="64">
        <v>123.8</v>
      </c>
      <c r="P64" s="64">
        <v>125.8</v>
      </c>
      <c r="Q64" s="64">
        <v>120.8</v>
      </c>
      <c r="R64" s="64">
        <v>120.7</v>
      </c>
      <c r="S64" s="64">
        <v>117.2</v>
      </c>
      <c r="T64" s="64">
        <v>120.1</v>
      </c>
      <c r="U64" s="64">
        <v>116.1</v>
      </c>
      <c r="V64" s="64">
        <v>114.3</v>
      </c>
      <c r="W64" s="64">
        <v>116.1</v>
      </c>
      <c r="X64" s="64">
        <v>113.7</v>
      </c>
      <c r="Y64" s="64">
        <v>112</v>
      </c>
      <c r="Z64" s="64">
        <v>113.1</v>
      </c>
      <c r="AA64" s="64">
        <v>118.6</v>
      </c>
      <c r="AB64" s="64">
        <v>109.5</v>
      </c>
      <c r="AC64" s="64">
        <v>113.7</v>
      </c>
      <c r="AD64" s="64">
        <v>120.1</v>
      </c>
    </row>
    <row r="65" spans="1:30">
      <c r="A65" s="64" t="s">
        <v>30</v>
      </c>
      <c r="B65" s="64">
        <v>2014</v>
      </c>
      <c r="C65" s="64" t="s">
        <v>43</v>
      </c>
      <c r="D65" s="64">
        <v>122.6</v>
      </c>
      <c r="E65" s="64">
        <v>122.5</v>
      </c>
      <c r="F65" s="64">
        <v>118.3</v>
      </c>
      <c r="G65" s="64">
        <v>123.2</v>
      </c>
      <c r="H65" s="64">
        <v>110.5</v>
      </c>
      <c r="I65" s="64">
        <v>128.9</v>
      </c>
      <c r="J65" s="64">
        <v>155.30000000000001</v>
      </c>
      <c r="K65" s="64">
        <v>115.5</v>
      </c>
      <c r="L65" s="64">
        <v>104</v>
      </c>
      <c r="M65" s="64">
        <v>115.3</v>
      </c>
      <c r="N65" s="64">
        <v>116.8</v>
      </c>
      <c r="O65" s="64">
        <v>123.2</v>
      </c>
      <c r="P65" s="64">
        <v>125.1</v>
      </c>
      <c r="Q65" s="64">
        <v>120</v>
      </c>
      <c r="R65" s="64">
        <v>122.7</v>
      </c>
      <c r="S65" s="64">
        <v>120.3</v>
      </c>
      <c r="T65" s="64">
        <v>122.3</v>
      </c>
      <c r="U65" s="64">
        <v>116.7</v>
      </c>
      <c r="V65" s="64">
        <v>116.4</v>
      </c>
      <c r="W65" s="64">
        <v>117.5</v>
      </c>
      <c r="X65" s="64">
        <v>115.3</v>
      </c>
      <c r="Y65" s="64">
        <v>112.6</v>
      </c>
      <c r="Z65" s="64">
        <v>113</v>
      </c>
      <c r="AA65" s="64">
        <v>116.9</v>
      </c>
      <c r="AB65" s="64">
        <v>109.3</v>
      </c>
      <c r="AC65" s="64">
        <v>114</v>
      </c>
      <c r="AD65" s="64">
        <v>121</v>
      </c>
    </row>
    <row r="66" spans="1:30">
      <c r="A66" s="64" t="s">
        <v>33</v>
      </c>
      <c r="B66" s="64">
        <v>2014</v>
      </c>
      <c r="C66" s="64" t="s">
        <v>43</v>
      </c>
      <c r="D66" s="64">
        <v>124.6</v>
      </c>
      <c r="E66" s="64">
        <v>126.1</v>
      </c>
      <c r="F66" s="64">
        <v>117.8</v>
      </c>
      <c r="G66" s="64">
        <v>123.1</v>
      </c>
      <c r="H66" s="64">
        <v>103.5</v>
      </c>
      <c r="I66" s="64">
        <v>123.5</v>
      </c>
      <c r="J66" s="64">
        <v>159.6</v>
      </c>
      <c r="K66" s="64">
        <v>117.4</v>
      </c>
      <c r="L66" s="64">
        <v>101.2</v>
      </c>
      <c r="M66" s="64">
        <v>123.8</v>
      </c>
      <c r="N66" s="64">
        <v>115.2</v>
      </c>
      <c r="O66" s="64">
        <v>125.9</v>
      </c>
      <c r="P66" s="64">
        <v>125.8</v>
      </c>
      <c r="Q66" s="64">
        <v>124.3</v>
      </c>
      <c r="R66" s="64">
        <v>119.6</v>
      </c>
      <c r="S66" s="64">
        <v>114.9</v>
      </c>
      <c r="T66" s="64">
        <v>118.9</v>
      </c>
      <c r="U66" s="64">
        <v>116.7</v>
      </c>
      <c r="V66" s="64">
        <v>112</v>
      </c>
      <c r="W66" s="64">
        <v>115.8</v>
      </c>
      <c r="X66" s="64">
        <v>112.6</v>
      </c>
      <c r="Y66" s="64">
        <v>111</v>
      </c>
      <c r="Z66" s="64">
        <v>113.6</v>
      </c>
      <c r="AA66" s="64">
        <v>120.2</v>
      </c>
      <c r="AB66" s="64">
        <v>110.1</v>
      </c>
      <c r="AC66" s="64">
        <v>113.7</v>
      </c>
      <c r="AD66" s="64">
        <v>119.1</v>
      </c>
    </row>
    <row r="67" spans="1:30">
      <c r="A67" s="64" t="s">
        <v>34</v>
      </c>
      <c r="B67" s="64">
        <v>2014</v>
      </c>
      <c r="C67" s="64" t="s">
        <v>43</v>
      </c>
      <c r="D67" s="64">
        <v>123.2</v>
      </c>
      <c r="E67" s="64">
        <v>123.8</v>
      </c>
      <c r="F67" s="64">
        <v>118.1</v>
      </c>
      <c r="G67" s="64">
        <v>123.2</v>
      </c>
      <c r="H67" s="64">
        <v>107.9</v>
      </c>
      <c r="I67" s="64">
        <v>126.4</v>
      </c>
      <c r="J67" s="64">
        <v>156.80000000000001</v>
      </c>
      <c r="K67" s="64">
        <v>116.1</v>
      </c>
      <c r="L67" s="64">
        <v>103.1</v>
      </c>
      <c r="M67" s="64">
        <v>118.1</v>
      </c>
      <c r="N67" s="64">
        <v>116.1</v>
      </c>
      <c r="O67" s="64">
        <v>124.5</v>
      </c>
      <c r="P67" s="64">
        <v>125.4</v>
      </c>
      <c r="Q67" s="64">
        <v>121.1</v>
      </c>
      <c r="R67" s="64">
        <v>121.5</v>
      </c>
      <c r="S67" s="64">
        <v>118.1</v>
      </c>
      <c r="T67" s="64">
        <v>121</v>
      </c>
      <c r="U67" s="64">
        <v>116.7</v>
      </c>
      <c r="V67" s="64">
        <v>114.7</v>
      </c>
      <c r="W67" s="64">
        <v>116.7</v>
      </c>
      <c r="X67" s="64">
        <v>114.3</v>
      </c>
      <c r="Y67" s="64">
        <v>111.8</v>
      </c>
      <c r="Z67" s="64">
        <v>113.3</v>
      </c>
      <c r="AA67" s="64">
        <v>118.8</v>
      </c>
      <c r="AB67" s="64">
        <v>109.6</v>
      </c>
      <c r="AC67" s="64">
        <v>113.9</v>
      </c>
      <c r="AD67" s="64">
        <v>120.1</v>
      </c>
    </row>
    <row r="68" spans="1:30">
      <c r="A68" s="64" t="s">
        <v>30</v>
      </c>
      <c r="B68" s="64">
        <v>2014</v>
      </c>
      <c r="C68" s="64" t="s">
        <v>45</v>
      </c>
      <c r="D68" s="64">
        <v>122.7</v>
      </c>
      <c r="E68" s="64">
        <v>122.6</v>
      </c>
      <c r="F68" s="64">
        <v>119.9</v>
      </c>
      <c r="G68" s="64">
        <v>124</v>
      </c>
      <c r="H68" s="64">
        <v>110.5</v>
      </c>
      <c r="I68" s="64">
        <v>128.80000000000001</v>
      </c>
      <c r="J68" s="64">
        <v>152</v>
      </c>
      <c r="K68" s="64">
        <v>116.2</v>
      </c>
      <c r="L68" s="64">
        <v>103.3</v>
      </c>
      <c r="M68" s="64">
        <v>115.8</v>
      </c>
      <c r="N68" s="64">
        <v>116.8</v>
      </c>
      <c r="O68" s="64">
        <v>124.5</v>
      </c>
      <c r="P68" s="64">
        <v>124.9</v>
      </c>
      <c r="Q68" s="64">
        <v>120.8</v>
      </c>
      <c r="R68" s="64">
        <v>123.3</v>
      </c>
      <c r="S68" s="64">
        <v>120.5</v>
      </c>
      <c r="T68" s="64">
        <v>122.9</v>
      </c>
      <c r="U68" s="64">
        <v>117.1</v>
      </c>
      <c r="V68" s="64">
        <v>117.3</v>
      </c>
      <c r="W68" s="64">
        <v>118.1</v>
      </c>
      <c r="X68" s="64">
        <v>115.9</v>
      </c>
      <c r="Y68" s="64">
        <v>112</v>
      </c>
      <c r="Z68" s="64">
        <v>113.3</v>
      </c>
      <c r="AA68" s="64">
        <v>117.2</v>
      </c>
      <c r="AB68" s="64">
        <v>108.8</v>
      </c>
      <c r="AC68" s="64">
        <v>114.1</v>
      </c>
      <c r="AD68" s="64">
        <v>121.1</v>
      </c>
    </row>
    <row r="69" spans="1:30">
      <c r="A69" s="64" t="s">
        <v>33</v>
      </c>
      <c r="B69" s="64">
        <v>2014</v>
      </c>
      <c r="C69" s="64" t="s">
        <v>45</v>
      </c>
      <c r="D69" s="64">
        <v>124.5</v>
      </c>
      <c r="E69" s="64">
        <v>125.6</v>
      </c>
      <c r="F69" s="64">
        <v>122.7</v>
      </c>
      <c r="G69" s="64">
        <v>124.6</v>
      </c>
      <c r="H69" s="64">
        <v>103.2</v>
      </c>
      <c r="I69" s="64">
        <v>122.2</v>
      </c>
      <c r="J69" s="64">
        <v>153.19999999999999</v>
      </c>
      <c r="K69" s="64">
        <v>119.3</v>
      </c>
      <c r="L69" s="64">
        <v>99.8</v>
      </c>
      <c r="M69" s="64">
        <v>124.6</v>
      </c>
      <c r="N69" s="64">
        <v>115.8</v>
      </c>
      <c r="O69" s="64">
        <v>126.9</v>
      </c>
      <c r="P69" s="64">
        <v>125.4</v>
      </c>
      <c r="Q69" s="64">
        <v>125.8</v>
      </c>
      <c r="R69" s="64">
        <v>120.3</v>
      </c>
      <c r="S69" s="64">
        <v>115.4</v>
      </c>
      <c r="T69" s="64">
        <v>119.5</v>
      </c>
      <c r="U69" s="64">
        <v>117.1</v>
      </c>
      <c r="V69" s="64">
        <v>112.6</v>
      </c>
      <c r="W69" s="64">
        <v>116.4</v>
      </c>
      <c r="X69" s="64">
        <v>113</v>
      </c>
      <c r="Y69" s="64">
        <v>109.7</v>
      </c>
      <c r="Z69" s="64">
        <v>114</v>
      </c>
      <c r="AA69" s="64">
        <v>120.3</v>
      </c>
      <c r="AB69" s="64">
        <v>109.6</v>
      </c>
      <c r="AC69" s="64">
        <v>113.4</v>
      </c>
      <c r="AD69" s="64">
        <v>119</v>
      </c>
    </row>
    <row r="70" spans="1:30">
      <c r="A70" s="64" t="s">
        <v>34</v>
      </c>
      <c r="B70" s="64">
        <v>2014</v>
      </c>
      <c r="C70" s="64" t="s">
        <v>45</v>
      </c>
      <c r="D70" s="64">
        <v>123.3</v>
      </c>
      <c r="E70" s="64">
        <v>123.7</v>
      </c>
      <c r="F70" s="64">
        <v>121</v>
      </c>
      <c r="G70" s="64">
        <v>124.2</v>
      </c>
      <c r="H70" s="64">
        <v>107.8</v>
      </c>
      <c r="I70" s="64">
        <v>125.7</v>
      </c>
      <c r="J70" s="64">
        <v>152.4</v>
      </c>
      <c r="K70" s="64">
        <v>117.2</v>
      </c>
      <c r="L70" s="64">
        <v>102.1</v>
      </c>
      <c r="M70" s="64">
        <v>118.7</v>
      </c>
      <c r="N70" s="64">
        <v>116.4</v>
      </c>
      <c r="O70" s="64">
        <v>125.6</v>
      </c>
      <c r="P70" s="64">
        <v>125.1</v>
      </c>
      <c r="Q70" s="64">
        <v>122.1</v>
      </c>
      <c r="R70" s="64">
        <v>122.1</v>
      </c>
      <c r="S70" s="64">
        <v>118.4</v>
      </c>
      <c r="T70" s="64">
        <v>121.6</v>
      </c>
      <c r="U70" s="64">
        <v>117.1</v>
      </c>
      <c r="V70" s="64">
        <v>115.5</v>
      </c>
      <c r="W70" s="64">
        <v>117.3</v>
      </c>
      <c r="X70" s="64">
        <v>114.8</v>
      </c>
      <c r="Y70" s="64">
        <v>110.8</v>
      </c>
      <c r="Z70" s="64">
        <v>113.7</v>
      </c>
      <c r="AA70" s="64">
        <v>119</v>
      </c>
      <c r="AB70" s="64">
        <v>109.1</v>
      </c>
      <c r="AC70" s="64">
        <v>113.8</v>
      </c>
      <c r="AD70" s="64">
        <v>120.1</v>
      </c>
    </row>
    <row r="71" spans="1:30">
      <c r="A71" s="64" t="s">
        <v>30</v>
      </c>
      <c r="B71" s="64">
        <v>2014</v>
      </c>
      <c r="C71" s="64" t="s">
        <v>46</v>
      </c>
      <c r="D71" s="64">
        <v>122.4</v>
      </c>
      <c r="E71" s="64">
        <v>122.4</v>
      </c>
      <c r="F71" s="64">
        <v>121.8</v>
      </c>
      <c r="G71" s="64">
        <v>124.2</v>
      </c>
      <c r="H71" s="64">
        <v>110.2</v>
      </c>
      <c r="I71" s="64">
        <v>128.6</v>
      </c>
      <c r="J71" s="64">
        <v>140.30000000000001</v>
      </c>
      <c r="K71" s="64">
        <v>116.3</v>
      </c>
      <c r="L71" s="64">
        <v>102</v>
      </c>
      <c r="M71" s="64">
        <v>116</v>
      </c>
      <c r="N71" s="64">
        <v>117.3</v>
      </c>
      <c r="O71" s="64">
        <v>124.8</v>
      </c>
      <c r="P71" s="64">
        <v>123.3</v>
      </c>
      <c r="Q71" s="64">
        <v>121.7</v>
      </c>
      <c r="R71" s="64">
        <v>123.8</v>
      </c>
      <c r="S71" s="64">
        <v>120.6</v>
      </c>
      <c r="T71" s="64">
        <v>123.3</v>
      </c>
      <c r="U71" s="64">
        <v>116.5</v>
      </c>
      <c r="V71" s="64">
        <v>117.4</v>
      </c>
      <c r="W71" s="64">
        <v>118.2</v>
      </c>
      <c r="X71" s="64">
        <v>116.2</v>
      </c>
      <c r="Y71" s="64">
        <v>111.5</v>
      </c>
      <c r="Z71" s="64">
        <v>113.3</v>
      </c>
      <c r="AA71" s="64">
        <v>117.7</v>
      </c>
      <c r="AB71" s="64">
        <v>109.4</v>
      </c>
      <c r="AC71" s="64">
        <v>114.2</v>
      </c>
      <c r="AD71" s="64">
        <v>120.3</v>
      </c>
    </row>
    <row r="72" spans="1:30">
      <c r="A72" s="64" t="s">
        <v>33</v>
      </c>
      <c r="B72" s="64">
        <v>2014</v>
      </c>
      <c r="C72" s="64" t="s">
        <v>46</v>
      </c>
      <c r="D72" s="64">
        <v>124</v>
      </c>
      <c r="E72" s="64">
        <v>124.7</v>
      </c>
      <c r="F72" s="64">
        <v>126.3</v>
      </c>
      <c r="G72" s="64">
        <v>124.9</v>
      </c>
      <c r="H72" s="64">
        <v>103</v>
      </c>
      <c r="I72" s="64">
        <v>122.3</v>
      </c>
      <c r="J72" s="64">
        <v>141</v>
      </c>
      <c r="K72" s="64">
        <v>120.1</v>
      </c>
      <c r="L72" s="64">
        <v>97.8</v>
      </c>
      <c r="M72" s="64">
        <v>125.4</v>
      </c>
      <c r="N72" s="64">
        <v>116.1</v>
      </c>
      <c r="O72" s="64">
        <v>127.6</v>
      </c>
      <c r="P72" s="64">
        <v>124</v>
      </c>
      <c r="Q72" s="64">
        <v>126.4</v>
      </c>
      <c r="R72" s="64">
        <v>120.7</v>
      </c>
      <c r="S72" s="64">
        <v>115.8</v>
      </c>
      <c r="T72" s="64">
        <v>120</v>
      </c>
      <c r="U72" s="64">
        <v>116.5</v>
      </c>
      <c r="V72" s="64">
        <v>113</v>
      </c>
      <c r="W72" s="64">
        <v>116.8</v>
      </c>
      <c r="X72" s="64">
        <v>113.2</v>
      </c>
      <c r="Y72" s="64">
        <v>108.8</v>
      </c>
      <c r="Z72" s="64">
        <v>114.3</v>
      </c>
      <c r="AA72" s="64">
        <v>120.7</v>
      </c>
      <c r="AB72" s="64">
        <v>110.4</v>
      </c>
      <c r="AC72" s="64">
        <v>113.4</v>
      </c>
      <c r="AD72" s="64">
        <v>118.4</v>
      </c>
    </row>
    <row r="73" spans="1:30">
      <c r="A73" s="64" t="s">
        <v>34</v>
      </c>
      <c r="B73" s="64">
        <v>2014</v>
      </c>
      <c r="C73" s="64" t="s">
        <v>46</v>
      </c>
      <c r="D73" s="64">
        <v>122.9</v>
      </c>
      <c r="E73" s="64">
        <v>123.2</v>
      </c>
      <c r="F73" s="64">
        <v>123.5</v>
      </c>
      <c r="G73" s="64">
        <v>124.5</v>
      </c>
      <c r="H73" s="64">
        <v>107.6</v>
      </c>
      <c r="I73" s="64">
        <v>125.7</v>
      </c>
      <c r="J73" s="64">
        <v>140.5</v>
      </c>
      <c r="K73" s="64">
        <v>117.6</v>
      </c>
      <c r="L73" s="64">
        <v>100.6</v>
      </c>
      <c r="M73" s="64">
        <v>119.1</v>
      </c>
      <c r="N73" s="64">
        <v>116.8</v>
      </c>
      <c r="O73" s="64">
        <v>126.1</v>
      </c>
      <c r="P73" s="64">
        <v>123.6</v>
      </c>
      <c r="Q73" s="64">
        <v>123</v>
      </c>
      <c r="R73" s="64">
        <v>122.6</v>
      </c>
      <c r="S73" s="64">
        <v>118.6</v>
      </c>
      <c r="T73" s="64">
        <v>122</v>
      </c>
      <c r="U73" s="64">
        <v>116.5</v>
      </c>
      <c r="V73" s="64">
        <v>115.7</v>
      </c>
      <c r="W73" s="64">
        <v>117.5</v>
      </c>
      <c r="X73" s="64">
        <v>115.1</v>
      </c>
      <c r="Y73" s="64">
        <v>110.1</v>
      </c>
      <c r="Z73" s="64">
        <v>113.9</v>
      </c>
      <c r="AA73" s="64">
        <v>119.5</v>
      </c>
      <c r="AB73" s="64">
        <v>109.8</v>
      </c>
      <c r="AC73" s="64">
        <v>113.8</v>
      </c>
      <c r="AD73" s="64">
        <v>119.4</v>
      </c>
    </row>
    <row r="74" spans="1:30">
      <c r="A74" s="64" t="s">
        <v>30</v>
      </c>
      <c r="B74" s="64">
        <v>2015</v>
      </c>
      <c r="C74" s="64" t="s">
        <v>31</v>
      </c>
      <c r="D74" s="64">
        <v>123.1</v>
      </c>
      <c r="E74" s="64">
        <v>123.1</v>
      </c>
      <c r="F74" s="64">
        <v>122.1</v>
      </c>
      <c r="G74" s="64">
        <v>124.9</v>
      </c>
      <c r="H74" s="64">
        <v>111</v>
      </c>
      <c r="I74" s="64">
        <v>130.4</v>
      </c>
      <c r="J74" s="64">
        <v>132.30000000000001</v>
      </c>
      <c r="K74" s="64">
        <v>117.2</v>
      </c>
      <c r="L74" s="64">
        <v>100.5</v>
      </c>
      <c r="M74" s="64">
        <v>117.2</v>
      </c>
      <c r="N74" s="64">
        <v>117.9</v>
      </c>
      <c r="O74" s="64">
        <v>125.6</v>
      </c>
      <c r="P74" s="64">
        <v>122.8</v>
      </c>
      <c r="Q74" s="64">
        <v>122.7</v>
      </c>
      <c r="R74" s="64">
        <v>124.4</v>
      </c>
      <c r="S74" s="64">
        <v>121.6</v>
      </c>
      <c r="T74" s="64">
        <v>124</v>
      </c>
      <c r="U74" s="64">
        <v>117.3</v>
      </c>
      <c r="V74" s="64">
        <v>118.4</v>
      </c>
      <c r="W74" s="64">
        <v>118.9</v>
      </c>
      <c r="X74" s="64">
        <v>116.6</v>
      </c>
      <c r="Y74" s="64">
        <v>111</v>
      </c>
      <c r="Z74" s="64">
        <v>114</v>
      </c>
      <c r="AA74" s="64">
        <v>118.2</v>
      </c>
      <c r="AB74" s="64">
        <v>110.2</v>
      </c>
      <c r="AC74" s="64">
        <v>114.5</v>
      </c>
      <c r="AD74" s="64">
        <v>120.3</v>
      </c>
    </row>
    <row r="75" spans="1:30">
      <c r="A75" s="64" t="s">
        <v>33</v>
      </c>
      <c r="B75" s="64">
        <v>2015</v>
      </c>
      <c r="C75" s="64" t="s">
        <v>31</v>
      </c>
      <c r="D75" s="64">
        <v>124</v>
      </c>
      <c r="E75" s="64">
        <v>125.5</v>
      </c>
      <c r="F75" s="64">
        <v>126.6</v>
      </c>
      <c r="G75" s="64">
        <v>125.2</v>
      </c>
      <c r="H75" s="64">
        <v>104.3</v>
      </c>
      <c r="I75" s="64">
        <v>121.3</v>
      </c>
      <c r="J75" s="64">
        <v>134.4</v>
      </c>
      <c r="K75" s="64">
        <v>122.9</v>
      </c>
      <c r="L75" s="64">
        <v>96.1</v>
      </c>
      <c r="M75" s="64">
        <v>126.6</v>
      </c>
      <c r="N75" s="64">
        <v>116.5</v>
      </c>
      <c r="O75" s="64">
        <v>128</v>
      </c>
      <c r="P75" s="64">
        <v>123.5</v>
      </c>
      <c r="Q75" s="64">
        <v>127.4</v>
      </c>
      <c r="R75" s="64">
        <v>121</v>
      </c>
      <c r="S75" s="64">
        <v>116.1</v>
      </c>
      <c r="T75" s="64">
        <v>120.2</v>
      </c>
      <c r="U75" s="64">
        <v>117.3</v>
      </c>
      <c r="V75" s="64">
        <v>113.4</v>
      </c>
      <c r="W75" s="64">
        <v>117.2</v>
      </c>
      <c r="X75" s="64">
        <v>113.7</v>
      </c>
      <c r="Y75" s="64">
        <v>107.9</v>
      </c>
      <c r="Z75" s="64">
        <v>114.6</v>
      </c>
      <c r="AA75" s="64">
        <v>120.8</v>
      </c>
      <c r="AB75" s="64">
        <v>111.4</v>
      </c>
      <c r="AC75" s="64">
        <v>113.4</v>
      </c>
      <c r="AD75" s="64">
        <v>118.5</v>
      </c>
    </row>
    <row r="76" spans="1:30">
      <c r="A76" s="64" t="s">
        <v>34</v>
      </c>
      <c r="B76" s="64">
        <v>2015</v>
      </c>
      <c r="C76" s="64" t="s">
        <v>31</v>
      </c>
      <c r="D76" s="64">
        <v>123.4</v>
      </c>
      <c r="E76" s="64">
        <v>123.9</v>
      </c>
      <c r="F76" s="64">
        <v>123.8</v>
      </c>
      <c r="G76" s="64">
        <v>125</v>
      </c>
      <c r="H76" s="64">
        <v>108.5</v>
      </c>
      <c r="I76" s="64">
        <v>126.2</v>
      </c>
      <c r="J76" s="64">
        <v>133</v>
      </c>
      <c r="K76" s="64">
        <v>119.1</v>
      </c>
      <c r="L76" s="64">
        <v>99</v>
      </c>
      <c r="M76" s="64">
        <v>120.3</v>
      </c>
      <c r="N76" s="64">
        <v>117.3</v>
      </c>
      <c r="O76" s="64">
        <v>126.7</v>
      </c>
      <c r="P76" s="64">
        <v>123.1</v>
      </c>
      <c r="Q76" s="64">
        <v>124</v>
      </c>
      <c r="R76" s="64">
        <v>123.1</v>
      </c>
      <c r="S76" s="64">
        <v>119.3</v>
      </c>
      <c r="T76" s="64">
        <v>122.5</v>
      </c>
      <c r="U76" s="64">
        <v>117.3</v>
      </c>
      <c r="V76" s="64">
        <v>116.5</v>
      </c>
      <c r="W76" s="64">
        <v>118.1</v>
      </c>
      <c r="X76" s="64">
        <v>115.5</v>
      </c>
      <c r="Y76" s="64">
        <v>109.4</v>
      </c>
      <c r="Z76" s="64">
        <v>114.3</v>
      </c>
      <c r="AA76" s="64">
        <v>119.7</v>
      </c>
      <c r="AB76" s="64">
        <v>110.7</v>
      </c>
      <c r="AC76" s="64">
        <v>114</v>
      </c>
      <c r="AD76" s="64">
        <v>119.5</v>
      </c>
    </row>
    <row r="77" spans="1:30">
      <c r="A77" s="64" t="s">
        <v>30</v>
      </c>
      <c r="B77" s="64">
        <v>2015</v>
      </c>
      <c r="C77" s="64" t="s">
        <v>35</v>
      </c>
      <c r="D77" s="64">
        <v>123.4</v>
      </c>
      <c r="E77" s="64">
        <v>124.4</v>
      </c>
      <c r="F77" s="64">
        <v>122.1</v>
      </c>
      <c r="G77" s="64">
        <v>125.8</v>
      </c>
      <c r="H77" s="64">
        <v>111.5</v>
      </c>
      <c r="I77" s="64">
        <v>129.4</v>
      </c>
      <c r="J77" s="64">
        <v>128.19999999999999</v>
      </c>
      <c r="K77" s="64">
        <v>118.8</v>
      </c>
      <c r="L77" s="64">
        <v>100</v>
      </c>
      <c r="M77" s="64">
        <v>118.6</v>
      </c>
      <c r="N77" s="64">
        <v>118.8</v>
      </c>
      <c r="O77" s="64">
        <v>126.8</v>
      </c>
      <c r="P77" s="64">
        <v>122.8</v>
      </c>
      <c r="Q77" s="64">
        <v>124.2</v>
      </c>
      <c r="R77" s="64">
        <v>125.4</v>
      </c>
      <c r="S77" s="64">
        <v>122.7</v>
      </c>
      <c r="T77" s="64">
        <v>125</v>
      </c>
      <c r="U77" s="64">
        <v>118.1</v>
      </c>
      <c r="V77" s="64">
        <v>120</v>
      </c>
      <c r="W77" s="64">
        <v>119.6</v>
      </c>
      <c r="X77" s="64">
        <v>117.7</v>
      </c>
      <c r="Y77" s="64">
        <v>110.9</v>
      </c>
      <c r="Z77" s="64">
        <v>114.8</v>
      </c>
      <c r="AA77" s="64">
        <v>118.7</v>
      </c>
      <c r="AB77" s="64">
        <v>110.8</v>
      </c>
      <c r="AC77" s="64">
        <v>115</v>
      </c>
      <c r="AD77" s="64">
        <v>120.6</v>
      </c>
    </row>
    <row r="78" spans="1:30">
      <c r="A78" s="64" t="s">
        <v>33</v>
      </c>
      <c r="B78" s="64">
        <v>2015</v>
      </c>
      <c r="C78" s="64" t="s">
        <v>35</v>
      </c>
      <c r="D78" s="64">
        <v>124.3</v>
      </c>
      <c r="E78" s="64">
        <v>126.5</v>
      </c>
      <c r="F78" s="64">
        <v>119.5</v>
      </c>
      <c r="G78" s="64">
        <v>125.6</v>
      </c>
      <c r="H78" s="64">
        <v>104.9</v>
      </c>
      <c r="I78" s="64">
        <v>121.6</v>
      </c>
      <c r="J78" s="64">
        <v>131.80000000000001</v>
      </c>
      <c r="K78" s="64">
        <v>125.1</v>
      </c>
      <c r="L78" s="64">
        <v>95</v>
      </c>
      <c r="M78" s="64">
        <v>127.7</v>
      </c>
      <c r="N78" s="64">
        <v>116.8</v>
      </c>
      <c r="O78" s="64">
        <v>128.6</v>
      </c>
      <c r="P78" s="64">
        <v>123.7</v>
      </c>
      <c r="Q78" s="64">
        <v>128.1</v>
      </c>
      <c r="R78" s="64">
        <v>121.3</v>
      </c>
      <c r="S78" s="64">
        <v>116.5</v>
      </c>
      <c r="T78" s="64">
        <v>120.6</v>
      </c>
      <c r="U78" s="64">
        <v>118.1</v>
      </c>
      <c r="V78" s="64">
        <v>114</v>
      </c>
      <c r="W78" s="64">
        <v>117.7</v>
      </c>
      <c r="X78" s="64">
        <v>114.1</v>
      </c>
      <c r="Y78" s="64">
        <v>106.8</v>
      </c>
      <c r="Z78" s="64">
        <v>114.9</v>
      </c>
      <c r="AA78" s="64">
        <v>120.4</v>
      </c>
      <c r="AB78" s="64">
        <v>111.7</v>
      </c>
      <c r="AC78" s="64">
        <v>113.2</v>
      </c>
      <c r="AD78" s="64">
        <v>118.7</v>
      </c>
    </row>
    <row r="79" spans="1:30">
      <c r="A79" s="64" t="s">
        <v>34</v>
      </c>
      <c r="B79" s="64">
        <v>2015</v>
      </c>
      <c r="C79" s="64" t="s">
        <v>35</v>
      </c>
      <c r="D79" s="64">
        <v>123.7</v>
      </c>
      <c r="E79" s="64">
        <v>125.1</v>
      </c>
      <c r="F79" s="64">
        <v>121.1</v>
      </c>
      <c r="G79" s="64">
        <v>125.7</v>
      </c>
      <c r="H79" s="64">
        <v>109.1</v>
      </c>
      <c r="I79" s="64">
        <v>125.8</v>
      </c>
      <c r="J79" s="64">
        <v>129.4</v>
      </c>
      <c r="K79" s="64">
        <v>120.9</v>
      </c>
      <c r="L79" s="64">
        <v>98.3</v>
      </c>
      <c r="M79" s="64">
        <v>121.6</v>
      </c>
      <c r="N79" s="64">
        <v>118</v>
      </c>
      <c r="O79" s="64">
        <v>127.6</v>
      </c>
      <c r="P79" s="64">
        <v>123.1</v>
      </c>
      <c r="Q79" s="64">
        <v>125.2</v>
      </c>
      <c r="R79" s="64">
        <v>123.8</v>
      </c>
      <c r="S79" s="64">
        <v>120.1</v>
      </c>
      <c r="T79" s="64">
        <v>123.3</v>
      </c>
      <c r="U79" s="64">
        <v>118.1</v>
      </c>
      <c r="V79" s="64">
        <v>117.7</v>
      </c>
      <c r="W79" s="64">
        <v>118.7</v>
      </c>
      <c r="X79" s="64">
        <v>116.3</v>
      </c>
      <c r="Y79" s="64">
        <v>108.7</v>
      </c>
      <c r="Z79" s="64">
        <v>114.9</v>
      </c>
      <c r="AA79" s="64">
        <v>119.7</v>
      </c>
      <c r="AB79" s="64">
        <v>111.2</v>
      </c>
      <c r="AC79" s="64">
        <v>114.1</v>
      </c>
      <c r="AD79" s="64">
        <v>119.7</v>
      </c>
    </row>
    <row r="80" spans="1:30">
      <c r="A80" s="64" t="s">
        <v>30</v>
      </c>
      <c r="B80" s="64">
        <v>2015</v>
      </c>
      <c r="C80" s="64" t="s">
        <v>36</v>
      </c>
      <c r="D80" s="64">
        <v>123.3</v>
      </c>
      <c r="E80" s="64">
        <v>124.7</v>
      </c>
      <c r="F80" s="64">
        <v>118.9</v>
      </c>
      <c r="G80" s="64">
        <v>126</v>
      </c>
      <c r="H80" s="64">
        <v>111.8</v>
      </c>
      <c r="I80" s="64">
        <v>130.9</v>
      </c>
      <c r="J80" s="64">
        <v>128</v>
      </c>
      <c r="K80" s="64">
        <v>119.9</v>
      </c>
      <c r="L80" s="64">
        <v>98.9</v>
      </c>
      <c r="M80" s="64">
        <v>119.4</v>
      </c>
      <c r="N80" s="64">
        <v>118.9</v>
      </c>
      <c r="O80" s="64">
        <v>127.7</v>
      </c>
      <c r="P80" s="64">
        <v>123.1</v>
      </c>
      <c r="Q80" s="64">
        <v>124.7</v>
      </c>
      <c r="R80" s="64">
        <v>126</v>
      </c>
      <c r="S80" s="64">
        <v>122.9</v>
      </c>
      <c r="T80" s="64">
        <v>125.5</v>
      </c>
      <c r="U80" s="64">
        <v>118.6</v>
      </c>
      <c r="V80" s="64">
        <v>120.6</v>
      </c>
      <c r="W80" s="64">
        <v>120.2</v>
      </c>
      <c r="X80" s="64">
        <v>118.2</v>
      </c>
      <c r="Y80" s="64">
        <v>111.6</v>
      </c>
      <c r="Z80" s="64">
        <v>115.5</v>
      </c>
      <c r="AA80" s="64">
        <v>119.4</v>
      </c>
      <c r="AB80" s="64">
        <v>110.8</v>
      </c>
      <c r="AC80" s="64">
        <v>115.5</v>
      </c>
      <c r="AD80" s="64">
        <v>121.1</v>
      </c>
    </row>
    <row r="81" spans="1:30">
      <c r="A81" s="64" t="s">
        <v>33</v>
      </c>
      <c r="B81" s="64">
        <v>2015</v>
      </c>
      <c r="C81" s="64" t="s">
        <v>36</v>
      </c>
      <c r="D81" s="64">
        <v>124</v>
      </c>
      <c r="E81" s="64">
        <v>126.7</v>
      </c>
      <c r="F81" s="64">
        <v>113.5</v>
      </c>
      <c r="G81" s="64">
        <v>125.9</v>
      </c>
      <c r="H81" s="64">
        <v>104.8</v>
      </c>
      <c r="I81" s="64">
        <v>123.8</v>
      </c>
      <c r="J81" s="64">
        <v>131.4</v>
      </c>
      <c r="K81" s="64">
        <v>127.2</v>
      </c>
      <c r="L81" s="64">
        <v>93.2</v>
      </c>
      <c r="M81" s="64">
        <v>127.4</v>
      </c>
      <c r="N81" s="64">
        <v>117</v>
      </c>
      <c r="O81" s="64">
        <v>129.19999999999999</v>
      </c>
      <c r="P81" s="64">
        <v>123.9</v>
      </c>
      <c r="Q81" s="64">
        <v>128.80000000000001</v>
      </c>
      <c r="R81" s="64">
        <v>121.7</v>
      </c>
      <c r="S81" s="64">
        <v>116.9</v>
      </c>
      <c r="T81" s="64">
        <v>120.9</v>
      </c>
      <c r="U81" s="64">
        <v>118.6</v>
      </c>
      <c r="V81" s="64">
        <v>114.4</v>
      </c>
      <c r="W81" s="64">
        <v>118</v>
      </c>
      <c r="X81" s="64">
        <v>114.3</v>
      </c>
      <c r="Y81" s="64">
        <v>108.4</v>
      </c>
      <c r="Z81" s="64">
        <v>115.4</v>
      </c>
      <c r="AA81" s="64">
        <v>120.6</v>
      </c>
      <c r="AB81" s="64">
        <v>111.3</v>
      </c>
      <c r="AC81" s="64">
        <v>113.8</v>
      </c>
      <c r="AD81" s="64">
        <v>119.1</v>
      </c>
    </row>
    <row r="82" spans="1:30">
      <c r="A82" s="64" t="s">
        <v>34</v>
      </c>
      <c r="B82" s="64">
        <v>2015</v>
      </c>
      <c r="C82" s="64" t="s">
        <v>36</v>
      </c>
      <c r="D82" s="64">
        <v>123.5</v>
      </c>
      <c r="E82" s="64">
        <v>125.4</v>
      </c>
      <c r="F82" s="64">
        <v>116.8</v>
      </c>
      <c r="G82" s="64">
        <v>126</v>
      </c>
      <c r="H82" s="64">
        <v>109.2</v>
      </c>
      <c r="I82" s="64">
        <v>127.6</v>
      </c>
      <c r="J82" s="64">
        <v>129.19999999999999</v>
      </c>
      <c r="K82" s="64">
        <v>122.4</v>
      </c>
      <c r="L82" s="64">
        <v>97</v>
      </c>
      <c r="M82" s="64">
        <v>122.1</v>
      </c>
      <c r="N82" s="64">
        <v>118.1</v>
      </c>
      <c r="O82" s="64">
        <v>128.4</v>
      </c>
      <c r="P82" s="64">
        <v>123.4</v>
      </c>
      <c r="Q82" s="64">
        <v>125.8</v>
      </c>
      <c r="R82" s="64">
        <v>124.3</v>
      </c>
      <c r="S82" s="64">
        <v>120.4</v>
      </c>
      <c r="T82" s="64">
        <v>123.7</v>
      </c>
      <c r="U82" s="64">
        <v>118.6</v>
      </c>
      <c r="V82" s="64">
        <v>118.3</v>
      </c>
      <c r="W82" s="64">
        <v>119.2</v>
      </c>
      <c r="X82" s="64">
        <v>116.7</v>
      </c>
      <c r="Y82" s="64">
        <v>109.9</v>
      </c>
      <c r="Z82" s="64">
        <v>115.4</v>
      </c>
      <c r="AA82" s="64">
        <v>120.1</v>
      </c>
      <c r="AB82" s="64">
        <v>111</v>
      </c>
      <c r="AC82" s="64">
        <v>114.7</v>
      </c>
      <c r="AD82" s="64">
        <v>120.2</v>
      </c>
    </row>
    <row r="83" spans="1:30">
      <c r="A83" s="64" t="s">
        <v>30</v>
      </c>
      <c r="B83" s="64">
        <v>2015</v>
      </c>
      <c r="C83" s="64" t="s">
        <v>37</v>
      </c>
      <c r="D83" s="64">
        <v>123.3</v>
      </c>
      <c r="E83" s="64">
        <v>125.5</v>
      </c>
      <c r="F83" s="64">
        <v>117.2</v>
      </c>
      <c r="G83" s="64">
        <v>126.8</v>
      </c>
      <c r="H83" s="64">
        <v>111.9</v>
      </c>
      <c r="I83" s="64">
        <v>134.19999999999999</v>
      </c>
      <c r="J83" s="64">
        <v>127.5</v>
      </c>
      <c r="K83" s="64">
        <v>121.5</v>
      </c>
      <c r="L83" s="64">
        <v>97.8</v>
      </c>
      <c r="M83" s="64">
        <v>119.8</v>
      </c>
      <c r="N83" s="64">
        <v>119.4</v>
      </c>
      <c r="O83" s="64">
        <v>128.69999999999999</v>
      </c>
      <c r="P83" s="64">
        <v>123.6</v>
      </c>
      <c r="Q83" s="64">
        <v>125.7</v>
      </c>
      <c r="R83" s="64">
        <v>126.4</v>
      </c>
      <c r="S83" s="64">
        <v>123.3</v>
      </c>
      <c r="T83" s="64">
        <v>126</v>
      </c>
      <c r="U83" s="64">
        <v>119.2</v>
      </c>
      <c r="V83" s="64">
        <v>121.2</v>
      </c>
      <c r="W83" s="64">
        <v>120.9</v>
      </c>
      <c r="X83" s="64">
        <v>118.6</v>
      </c>
      <c r="Y83" s="64">
        <v>111.9</v>
      </c>
      <c r="Z83" s="64">
        <v>116.2</v>
      </c>
      <c r="AA83" s="64">
        <v>119.9</v>
      </c>
      <c r="AB83" s="64">
        <v>111.6</v>
      </c>
      <c r="AC83" s="64">
        <v>116</v>
      </c>
      <c r="AD83" s="64">
        <v>121.5</v>
      </c>
    </row>
    <row r="84" spans="1:30">
      <c r="A84" s="64" t="s">
        <v>33</v>
      </c>
      <c r="B84" s="64">
        <v>2015</v>
      </c>
      <c r="C84" s="64" t="s">
        <v>37</v>
      </c>
      <c r="D84" s="64">
        <v>123.8</v>
      </c>
      <c r="E84" s="64">
        <v>128.19999999999999</v>
      </c>
      <c r="F84" s="64">
        <v>110</v>
      </c>
      <c r="G84" s="64">
        <v>126.3</v>
      </c>
      <c r="H84" s="64">
        <v>104.5</v>
      </c>
      <c r="I84" s="64">
        <v>130.6</v>
      </c>
      <c r="J84" s="64">
        <v>130.80000000000001</v>
      </c>
      <c r="K84" s="64">
        <v>131.30000000000001</v>
      </c>
      <c r="L84" s="64">
        <v>91.6</v>
      </c>
      <c r="M84" s="64">
        <v>127.7</v>
      </c>
      <c r="N84" s="64">
        <v>117.2</v>
      </c>
      <c r="O84" s="64">
        <v>129.5</v>
      </c>
      <c r="P84" s="64">
        <v>124.6</v>
      </c>
      <c r="Q84" s="64">
        <v>130.1</v>
      </c>
      <c r="R84" s="64">
        <v>122.1</v>
      </c>
      <c r="S84" s="64">
        <v>117.2</v>
      </c>
      <c r="T84" s="64">
        <v>121.3</v>
      </c>
      <c r="U84" s="64">
        <v>119.2</v>
      </c>
      <c r="V84" s="64">
        <v>114.7</v>
      </c>
      <c r="W84" s="64">
        <v>118.4</v>
      </c>
      <c r="X84" s="64">
        <v>114.6</v>
      </c>
      <c r="Y84" s="64">
        <v>108.4</v>
      </c>
      <c r="Z84" s="64">
        <v>115.6</v>
      </c>
      <c r="AA84" s="64">
        <v>121.7</v>
      </c>
      <c r="AB84" s="64">
        <v>111.8</v>
      </c>
      <c r="AC84" s="64">
        <v>114.2</v>
      </c>
      <c r="AD84" s="64">
        <v>119.7</v>
      </c>
    </row>
    <row r="85" spans="1:30">
      <c r="A85" s="64" t="s">
        <v>34</v>
      </c>
      <c r="B85" s="64">
        <v>2015</v>
      </c>
      <c r="C85" s="64" t="s">
        <v>37</v>
      </c>
      <c r="D85" s="64">
        <v>123.5</v>
      </c>
      <c r="E85" s="64">
        <v>126.4</v>
      </c>
      <c r="F85" s="64">
        <v>114.4</v>
      </c>
      <c r="G85" s="64">
        <v>126.6</v>
      </c>
      <c r="H85" s="64">
        <v>109.2</v>
      </c>
      <c r="I85" s="64">
        <v>132.5</v>
      </c>
      <c r="J85" s="64">
        <v>128.6</v>
      </c>
      <c r="K85" s="64">
        <v>124.8</v>
      </c>
      <c r="L85" s="64">
        <v>95.7</v>
      </c>
      <c r="M85" s="64">
        <v>122.4</v>
      </c>
      <c r="N85" s="64">
        <v>118.5</v>
      </c>
      <c r="O85" s="64">
        <v>129.1</v>
      </c>
      <c r="P85" s="64">
        <v>124</v>
      </c>
      <c r="Q85" s="64">
        <v>126.9</v>
      </c>
      <c r="R85" s="64">
        <v>124.7</v>
      </c>
      <c r="S85" s="64">
        <v>120.8</v>
      </c>
      <c r="T85" s="64">
        <v>124.1</v>
      </c>
      <c r="U85" s="64">
        <v>119.2</v>
      </c>
      <c r="V85" s="64">
        <v>118.7</v>
      </c>
      <c r="W85" s="64">
        <v>119.7</v>
      </c>
      <c r="X85" s="64">
        <v>117.1</v>
      </c>
      <c r="Y85" s="64">
        <v>110.1</v>
      </c>
      <c r="Z85" s="64">
        <v>115.9</v>
      </c>
      <c r="AA85" s="64">
        <v>121</v>
      </c>
      <c r="AB85" s="64">
        <v>111.7</v>
      </c>
      <c r="AC85" s="64">
        <v>115.1</v>
      </c>
      <c r="AD85" s="64">
        <v>120.7</v>
      </c>
    </row>
    <row r="86" spans="1:30">
      <c r="A86" s="64" t="s">
        <v>30</v>
      </c>
      <c r="B86" s="64">
        <v>2015</v>
      </c>
      <c r="C86" s="64" t="s">
        <v>38</v>
      </c>
      <c r="D86" s="64">
        <v>123.5</v>
      </c>
      <c r="E86" s="64">
        <v>127.1</v>
      </c>
      <c r="F86" s="64">
        <v>117.3</v>
      </c>
      <c r="G86" s="64">
        <v>127.7</v>
      </c>
      <c r="H86" s="64">
        <v>112.5</v>
      </c>
      <c r="I86" s="64">
        <v>134.1</v>
      </c>
      <c r="J86" s="64">
        <v>128.5</v>
      </c>
      <c r="K86" s="64">
        <v>124.3</v>
      </c>
      <c r="L86" s="64">
        <v>97.6</v>
      </c>
      <c r="M86" s="64">
        <v>120.7</v>
      </c>
      <c r="N86" s="64">
        <v>120.2</v>
      </c>
      <c r="O86" s="64">
        <v>129.80000000000001</v>
      </c>
      <c r="P86" s="64">
        <v>124.4</v>
      </c>
      <c r="Q86" s="64">
        <v>126.7</v>
      </c>
      <c r="R86" s="64">
        <v>127.3</v>
      </c>
      <c r="S86" s="64">
        <v>124.1</v>
      </c>
      <c r="T86" s="64">
        <v>126.8</v>
      </c>
      <c r="U86" s="64">
        <v>119.6</v>
      </c>
      <c r="V86" s="64">
        <v>121.9</v>
      </c>
      <c r="W86" s="64">
        <v>121.5</v>
      </c>
      <c r="X86" s="64">
        <v>119.4</v>
      </c>
      <c r="Y86" s="64">
        <v>113.3</v>
      </c>
      <c r="Z86" s="64">
        <v>116.7</v>
      </c>
      <c r="AA86" s="64">
        <v>120.5</v>
      </c>
      <c r="AB86" s="64">
        <v>112.3</v>
      </c>
      <c r="AC86" s="64">
        <v>116.9</v>
      </c>
      <c r="AD86" s="64">
        <v>122.4</v>
      </c>
    </row>
    <row r="87" spans="1:30">
      <c r="A87" s="64" t="s">
        <v>33</v>
      </c>
      <c r="B87" s="64">
        <v>2015</v>
      </c>
      <c r="C87" s="64" t="s">
        <v>38</v>
      </c>
      <c r="D87" s="64">
        <v>123.8</v>
      </c>
      <c r="E87" s="64">
        <v>129.69999999999999</v>
      </c>
      <c r="F87" s="64">
        <v>111.3</v>
      </c>
      <c r="G87" s="64">
        <v>126.6</v>
      </c>
      <c r="H87" s="64">
        <v>105.2</v>
      </c>
      <c r="I87" s="64">
        <v>130.80000000000001</v>
      </c>
      <c r="J87" s="64">
        <v>135.6</v>
      </c>
      <c r="K87" s="64">
        <v>142.6</v>
      </c>
      <c r="L87" s="64">
        <v>90.8</v>
      </c>
      <c r="M87" s="64">
        <v>128.80000000000001</v>
      </c>
      <c r="N87" s="64">
        <v>117.7</v>
      </c>
      <c r="O87" s="64">
        <v>129.9</v>
      </c>
      <c r="P87" s="64">
        <v>126.1</v>
      </c>
      <c r="Q87" s="64">
        <v>131.30000000000001</v>
      </c>
      <c r="R87" s="64">
        <v>122.4</v>
      </c>
      <c r="S87" s="64">
        <v>117.4</v>
      </c>
      <c r="T87" s="64">
        <v>121.6</v>
      </c>
      <c r="U87" s="64">
        <v>119.6</v>
      </c>
      <c r="V87" s="64">
        <v>114.9</v>
      </c>
      <c r="W87" s="64">
        <v>118.7</v>
      </c>
      <c r="X87" s="64">
        <v>114.9</v>
      </c>
      <c r="Y87" s="64">
        <v>110.8</v>
      </c>
      <c r="Z87" s="64">
        <v>116</v>
      </c>
      <c r="AA87" s="64">
        <v>122</v>
      </c>
      <c r="AB87" s="64">
        <v>112.4</v>
      </c>
      <c r="AC87" s="64">
        <v>115.2</v>
      </c>
      <c r="AD87" s="64">
        <v>120.7</v>
      </c>
    </row>
    <row r="88" spans="1:30">
      <c r="A88" s="64" t="s">
        <v>34</v>
      </c>
      <c r="B88" s="64">
        <v>2015</v>
      </c>
      <c r="C88" s="64" t="s">
        <v>38</v>
      </c>
      <c r="D88" s="64">
        <v>123.6</v>
      </c>
      <c r="E88" s="64">
        <v>128</v>
      </c>
      <c r="F88" s="64">
        <v>115</v>
      </c>
      <c r="G88" s="64">
        <v>127.3</v>
      </c>
      <c r="H88" s="64">
        <v>109.8</v>
      </c>
      <c r="I88" s="64">
        <v>132.6</v>
      </c>
      <c r="J88" s="64">
        <v>130.9</v>
      </c>
      <c r="K88" s="64">
        <v>130.5</v>
      </c>
      <c r="L88" s="64">
        <v>95.3</v>
      </c>
      <c r="M88" s="64">
        <v>123.4</v>
      </c>
      <c r="N88" s="64">
        <v>119.2</v>
      </c>
      <c r="O88" s="64">
        <v>129.80000000000001</v>
      </c>
      <c r="P88" s="64">
        <v>125</v>
      </c>
      <c r="Q88" s="64">
        <v>127.9</v>
      </c>
      <c r="R88" s="64">
        <v>125.4</v>
      </c>
      <c r="S88" s="64">
        <v>121.3</v>
      </c>
      <c r="T88" s="64">
        <v>124.7</v>
      </c>
      <c r="U88" s="64">
        <v>119.6</v>
      </c>
      <c r="V88" s="64">
        <v>119.2</v>
      </c>
      <c r="W88" s="64">
        <v>120.2</v>
      </c>
      <c r="X88" s="64">
        <v>117.7</v>
      </c>
      <c r="Y88" s="64">
        <v>112</v>
      </c>
      <c r="Z88" s="64">
        <v>116.3</v>
      </c>
      <c r="AA88" s="64">
        <v>121.4</v>
      </c>
      <c r="AB88" s="64">
        <v>112.3</v>
      </c>
      <c r="AC88" s="64">
        <v>116.1</v>
      </c>
      <c r="AD88" s="64">
        <v>121.6</v>
      </c>
    </row>
    <row r="89" spans="1:30">
      <c r="A89" s="64" t="s">
        <v>30</v>
      </c>
      <c r="B89" s="64">
        <v>2015</v>
      </c>
      <c r="C89" s="64" t="s">
        <v>39</v>
      </c>
      <c r="D89" s="64">
        <v>124.1</v>
      </c>
      <c r="E89" s="64">
        <v>130.4</v>
      </c>
      <c r="F89" s="64">
        <v>122.1</v>
      </c>
      <c r="G89" s="64">
        <v>128.69999999999999</v>
      </c>
      <c r="H89" s="64">
        <v>114.1</v>
      </c>
      <c r="I89" s="64">
        <v>133.19999999999999</v>
      </c>
      <c r="J89" s="64">
        <v>135.19999999999999</v>
      </c>
      <c r="K89" s="64">
        <v>131.9</v>
      </c>
      <c r="L89" s="64">
        <v>96.3</v>
      </c>
      <c r="M89" s="64">
        <v>123</v>
      </c>
      <c r="N89" s="64">
        <v>121.1</v>
      </c>
      <c r="O89" s="64">
        <v>131.19999999999999</v>
      </c>
      <c r="P89" s="64">
        <v>126.6</v>
      </c>
      <c r="Q89" s="64">
        <v>128.19999999999999</v>
      </c>
      <c r="R89" s="64">
        <v>128.4</v>
      </c>
      <c r="S89" s="64">
        <v>125.1</v>
      </c>
      <c r="T89" s="64">
        <v>128</v>
      </c>
      <c r="U89" s="64">
        <v>119</v>
      </c>
      <c r="V89" s="64">
        <v>122.6</v>
      </c>
      <c r="W89" s="64">
        <v>122.8</v>
      </c>
      <c r="X89" s="64">
        <v>120.4</v>
      </c>
      <c r="Y89" s="64">
        <v>114.2</v>
      </c>
      <c r="Z89" s="64">
        <v>117.9</v>
      </c>
      <c r="AA89" s="64">
        <v>122</v>
      </c>
      <c r="AB89" s="64">
        <v>113</v>
      </c>
      <c r="AC89" s="64">
        <v>117.9</v>
      </c>
      <c r="AD89" s="64">
        <v>124.1</v>
      </c>
    </row>
    <row r="90" spans="1:30">
      <c r="A90" s="64" t="s">
        <v>33</v>
      </c>
      <c r="B90" s="64">
        <v>2015</v>
      </c>
      <c r="C90" s="64" t="s">
        <v>39</v>
      </c>
      <c r="D90" s="64">
        <v>123.6</v>
      </c>
      <c r="E90" s="64">
        <v>134.4</v>
      </c>
      <c r="F90" s="64">
        <v>120.9</v>
      </c>
      <c r="G90" s="64">
        <v>127.3</v>
      </c>
      <c r="H90" s="64">
        <v>106</v>
      </c>
      <c r="I90" s="64">
        <v>132.30000000000001</v>
      </c>
      <c r="J90" s="64">
        <v>146.69999999999999</v>
      </c>
      <c r="K90" s="64">
        <v>148.1</v>
      </c>
      <c r="L90" s="64">
        <v>89.8</v>
      </c>
      <c r="M90" s="64">
        <v>130.5</v>
      </c>
      <c r="N90" s="64">
        <v>118</v>
      </c>
      <c r="O90" s="64">
        <v>130.5</v>
      </c>
      <c r="P90" s="64">
        <v>128.5</v>
      </c>
      <c r="Q90" s="64">
        <v>132.1</v>
      </c>
      <c r="R90" s="64">
        <v>123.2</v>
      </c>
      <c r="S90" s="64">
        <v>117.6</v>
      </c>
      <c r="T90" s="64">
        <v>122.3</v>
      </c>
      <c r="U90" s="64">
        <v>119</v>
      </c>
      <c r="V90" s="64">
        <v>115.1</v>
      </c>
      <c r="W90" s="64">
        <v>119.2</v>
      </c>
      <c r="X90" s="64">
        <v>115.4</v>
      </c>
      <c r="Y90" s="64">
        <v>111.7</v>
      </c>
      <c r="Z90" s="64">
        <v>116.2</v>
      </c>
      <c r="AA90" s="64">
        <v>123.8</v>
      </c>
      <c r="AB90" s="64">
        <v>112.5</v>
      </c>
      <c r="AC90" s="64">
        <v>116</v>
      </c>
      <c r="AD90" s="64">
        <v>121.7</v>
      </c>
    </row>
    <row r="91" spans="1:30">
      <c r="A91" s="64" t="s">
        <v>34</v>
      </c>
      <c r="B91" s="64">
        <v>2015</v>
      </c>
      <c r="C91" s="64" t="s">
        <v>39</v>
      </c>
      <c r="D91" s="64">
        <v>123.9</v>
      </c>
      <c r="E91" s="64">
        <v>131.80000000000001</v>
      </c>
      <c r="F91" s="64">
        <v>121.6</v>
      </c>
      <c r="G91" s="64">
        <v>128.19999999999999</v>
      </c>
      <c r="H91" s="64">
        <v>111.1</v>
      </c>
      <c r="I91" s="64">
        <v>132.80000000000001</v>
      </c>
      <c r="J91" s="64">
        <v>139.1</v>
      </c>
      <c r="K91" s="64">
        <v>137.4</v>
      </c>
      <c r="L91" s="64">
        <v>94.1</v>
      </c>
      <c r="M91" s="64">
        <v>125.5</v>
      </c>
      <c r="N91" s="64">
        <v>119.8</v>
      </c>
      <c r="O91" s="64">
        <v>130.9</v>
      </c>
      <c r="P91" s="64">
        <v>127.3</v>
      </c>
      <c r="Q91" s="64">
        <v>129.19999999999999</v>
      </c>
      <c r="R91" s="64">
        <v>126.4</v>
      </c>
      <c r="S91" s="64">
        <v>122</v>
      </c>
      <c r="T91" s="64">
        <v>125.7</v>
      </c>
      <c r="U91" s="64">
        <v>119</v>
      </c>
      <c r="V91" s="64">
        <v>119.8</v>
      </c>
      <c r="W91" s="64">
        <v>121.1</v>
      </c>
      <c r="X91" s="64">
        <v>118.5</v>
      </c>
      <c r="Y91" s="64">
        <v>112.9</v>
      </c>
      <c r="Z91" s="64">
        <v>116.9</v>
      </c>
      <c r="AA91" s="64">
        <v>123.1</v>
      </c>
      <c r="AB91" s="64">
        <v>112.8</v>
      </c>
      <c r="AC91" s="64">
        <v>117</v>
      </c>
      <c r="AD91" s="64">
        <v>123</v>
      </c>
    </row>
    <row r="92" spans="1:30">
      <c r="A92" s="64" t="s">
        <v>30</v>
      </c>
      <c r="B92" s="64">
        <v>2015</v>
      </c>
      <c r="C92" s="64" t="s">
        <v>40</v>
      </c>
      <c r="D92" s="64">
        <v>124</v>
      </c>
      <c r="E92" s="64">
        <v>131.5</v>
      </c>
      <c r="F92" s="64">
        <v>122</v>
      </c>
      <c r="G92" s="64">
        <v>128.69999999999999</v>
      </c>
      <c r="H92" s="64">
        <v>113.5</v>
      </c>
      <c r="I92" s="64">
        <v>133.30000000000001</v>
      </c>
      <c r="J92" s="64">
        <v>140.80000000000001</v>
      </c>
      <c r="K92" s="64">
        <v>133.80000000000001</v>
      </c>
      <c r="L92" s="64">
        <v>94.1</v>
      </c>
      <c r="M92" s="64">
        <v>123.4</v>
      </c>
      <c r="N92" s="64">
        <v>121</v>
      </c>
      <c r="O92" s="64">
        <v>131.69999999999999</v>
      </c>
      <c r="P92" s="64">
        <v>127.5</v>
      </c>
      <c r="Q92" s="64">
        <v>129.4</v>
      </c>
      <c r="R92" s="64">
        <v>128.80000000000001</v>
      </c>
      <c r="S92" s="64">
        <v>125.5</v>
      </c>
      <c r="T92" s="64">
        <v>128.30000000000001</v>
      </c>
      <c r="U92" s="64">
        <v>119.9</v>
      </c>
      <c r="V92" s="64">
        <v>123</v>
      </c>
      <c r="W92" s="64">
        <v>123</v>
      </c>
      <c r="X92" s="64">
        <v>120.8</v>
      </c>
      <c r="Y92" s="64">
        <v>114.1</v>
      </c>
      <c r="Z92" s="64">
        <v>118</v>
      </c>
      <c r="AA92" s="64">
        <v>122.9</v>
      </c>
      <c r="AB92" s="64">
        <v>112.7</v>
      </c>
      <c r="AC92" s="64">
        <v>118.1</v>
      </c>
      <c r="AD92" s="64">
        <v>124.7</v>
      </c>
    </row>
    <row r="93" spans="1:30">
      <c r="A93" s="64" t="s">
        <v>33</v>
      </c>
      <c r="B93" s="64">
        <v>2015</v>
      </c>
      <c r="C93" s="64" t="s">
        <v>40</v>
      </c>
      <c r="D93" s="64">
        <v>123.2</v>
      </c>
      <c r="E93" s="64">
        <v>134.30000000000001</v>
      </c>
      <c r="F93" s="64">
        <v>119.5</v>
      </c>
      <c r="G93" s="64">
        <v>127.7</v>
      </c>
      <c r="H93" s="64">
        <v>106.3</v>
      </c>
      <c r="I93" s="64">
        <v>132.80000000000001</v>
      </c>
      <c r="J93" s="64">
        <v>153.5</v>
      </c>
      <c r="K93" s="64">
        <v>149.5</v>
      </c>
      <c r="L93" s="64">
        <v>85.7</v>
      </c>
      <c r="M93" s="64">
        <v>131.5</v>
      </c>
      <c r="N93" s="64">
        <v>118.3</v>
      </c>
      <c r="O93" s="64">
        <v>131.1</v>
      </c>
      <c r="P93" s="64">
        <v>129.5</v>
      </c>
      <c r="Q93" s="64">
        <v>133.1</v>
      </c>
      <c r="R93" s="64">
        <v>123.5</v>
      </c>
      <c r="S93" s="64">
        <v>117.9</v>
      </c>
      <c r="T93" s="64">
        <v>122.7</v>
      </c>
      <c r="U93" s="64">
        <v>119.9</v>
      </c>
      <c r="V93" s="64">
        <v>115.3</v>
      </c>
      <c r="W93" s="64">
        <v>119.5</v>
      </c>
      <c r="X93" s="64">
        <v>116</v>
      </c>
      <c r="Y93" s="64">
        <v>111.5</v>
      </c>
      <c r="Z93" s="64">
        <v>116.6</v>
      </c>
      <c r="AA93" s="64">
        <v>125.4</v>
      </c>
      <c r="AB93" s="64">
        <v>111.7</v>
      </c>
      <c r="AC93" s="64">
        <v>116.3</v>
      </c>
      <c r="AD93" s="64">
        <v>122.4</v>
      </c>
    </row>
    <row r="94" spans="1:30">
      <c r="A94" s="64" t="s">
        <v>34</v>
      </c>
      <c r="B94" s="64">
        <v>2015</v>
      </c>
      <c r="C94" s="64" t="s">
        <v>40</v>
      </c>
      <c r="D94" s="64">
        <v>123.7</v>
      </c>
      <c r="E94" s="64">
        <v>132.5</v>
      </c>
      <c r="F94" s="64">
        <v>121</v>
      </c>
      <c r="G94" s="64">
        <v>128.30000000000001</v>
      </c>
      <c r="H94" s="64">
        <v>110.9</v>
      </c>
      <c r="I94" s="64">
        <v>133.1</v>
      </c>
      <c r="J94" s="64">
        <v>145.1</v>
      </c>
      <c r="K94" s="64">
        <v>139.1</v>
      </c>
      <c r="L94" s="64">
        <v>91.3</v>
      </c>
      <c r="M94" s="64">
        <v>126.1</v>
      </c>
      <c r="N94" s="64">
        <v>119.9</v>
      </c>
      <c r="O94" s="64">
        <v>131.4</v>
      </c>
      <c r="P94" s="64">
        <v>128.19999999999999</v>
      </c>
      <c r="Q94" s="64">
        <v>130.4</v>
      </c>
      <c r="R94" s="64">
        <v>126.7</v>
      </c>
      <c r="S94" s="64">
        <v>122.3</v>
      </c>
      <c r="T94" s="64">
        <v>126.1</v>
      </c>
      <c r="U94" s="64">
        <v>119.9</v>
      </c>
      <c r="V94" s="64">
        <v>120.1</v>
      </c>
      <c r="W94" s="64">
        <v>121.3</v>
      </c>
      <c r="X94" s="64">
        <v>119</v>
      </c>
      <c r="Y94" s="64">
        <v>112.7</v>
      </c>
      <c r="Z94" s="64">
        <v>117.2</v>
      </c>
      <c r="AA94" s="64">
        <v>124.4</v>
      </c>
      <c r="AB94" s="64">
        <v>112.3</v>
      </c>
      <c r="AC94" s="64">
        <v>117.2</v>
      </c>
      <c r="AD94" s="64">
        <v>123.6</v>
      </c>
    </row>
    <row r="95" spans="1:30">
      <c r="A95" s="64" t="s">
        <v>30</v>
      </c>
      <c r="B95" s="64">
        <v>2015</v>
      </c>
      <c r="C95" s="64" t="s">
        <v>41</v>
      </c>
      <c r="D95" s="64">
        <v>124.7</v>
      </c>
      <c r="E95" s="64">
        <v>131.30000000000001</v>
      </c>
      <c r="F95" s="64">
        <v>121.3</v>
      </c>
      <c r="G95" s="64">
        <v>128.80000000000001</v>
      </c>
      <c r="H95" s="64">
        <v>114</v>
      </c>
      <c r="I95" s="64">
        <v>134.19999999999999</v>
      </c>
      <c r="J95" s="64">
        <v>153.6</v>
      </c>
      <c r="K95" s="64">
        <v>137.9</v>
      </c>
      <c r="L95" s="64">
        <v>93.1</v>
      </c>
      <c r="M95" s="64">
        <v>123.9</v>
      </c>
      <c r="N95" s="64">
        <v>121.5</v>
      </c>
      <c r="O95" s="64">
        <v>132.5</v>
      </c>
      <c r="P95" s="64">
        <v>129.80000000000001</v>
      </c>
      <c r="Q95" s="64">
        <v>130.1</v>
      </c>
      <c r="R95" s="64">
        <v>129.5</v>
      </c>
      <c r="S95" s="64">
        <v>126.3</v>
      </c>
      <c r="T95" s="64">
        <v>129</v>
      </c>
      <c r="U95" s="64">
        <v>120.9</v>
      </c>
      <c r="V95" s="64">
        <v>123.8</v>
      </c>
      <c r="W95" s="64">
        <v>123.7</v>
      </c>
      <c r="X95" s="64">
        <v>121.1</v>
      </c>
      <c r="Y95" s="64">
        <v>113.6</v>
      </c>
      <c r="Z95" s="64">
        <v>118.5</v>
      </c>
      <c r="AA95" s="64">
        <v>123.6</v>
      </c>
      <c r="AB95" s="64">
        <v>112.5</v>
      </c>
      <c r="AC95" s="64">
        <v>118.2</v>
      </c>
      <c r="AD95" s="64">
        <v>126.1</v>
      </c>
    </row>
    <row r="96" spans="1:30">
      <c r="A96" s="64" t="s">
        <v>33</v>
      </c>
      <c r="B96" s="64">
        <v>2015</v>
      </c>
      <c r="C96" s="64" t="s">
        <v>41</v>
      </c>
      <c r="D96" s="64">
        <v>123.1</v>
      </c>
      <c r="E96" s="64">
        <v>131.69999999999999</v>
      </c>
      <c r="F96" s="64">
        <v>118.1</v>
      </c>
      <c r="G96" s="64">
        <v>128</v>
      </c>
      <c r="H96" s="64">
        <v>106.8</v>
      </c>
      <c r="I96" s="64">
        <v>130.1</v>
      </c>
      <c r="J96" s="64">
        <v>165.5</v>
      </c>
      <c r="K96" s="64">
        <v>156</v>
      </c>
      <c r="L96" s="64">
        <v>85.3</v>
      </c>
      <c r="M96" s="64">
        <v>132.69999999999999</v>
      </c>
      <c r="N96" s="64">
        <v>118.8</v>
      </c>
      <c r="O96" s="64">
        <v>131.69999999999999</v>
      </c>
      <c r="P96" s="64">
        <v>131.1</v>
      </c>
      <c r="Q96" s="64">
        <v>134.19999999999999</v>
      </c>
      <c r="R96" s="64">
        <v>123.7</v>
      </c>
      <c r="S96" s="64">
        <v>118.2</v>
      </c>
      <c r="T96" s="64">
        <v>122.9</v>
      </c>
      <c r="U96" s="64">
        <v>120.9</v>
      </c>
      <c r="V96" s="64">
        <v>115.3</v>
      </c>
      <c r="W96" s="64">
        <v>120</v>
      </c>
      <c r="X96" s="64">
        <v>116.6</v>
      </c>
      <c r="Y96" s="64">
        <v>109.9</v>
      </c>
      <c r="Z96" s="64">
        <v>117.2</v>
      </c>
      <c r="AA96" s="64">
        <v>126.2</v>
      </c>
      <c r="AB96" s="64">
        <v>112</v>
      </c>
      <c r="AC96" s="64">
        <v>116.2</v>
      </c>
      <c r="AD96" s="64">
        <v>123.2</v>
      </c>
    </row>
    <row r="97" spans="1:30">
      <c r="A97" s="64" t="s">
        <v>34</v>
      </c>
      <c r="B97" s="64">
        <v>2015</v>
      </c>
      <c r="C97" s="64" t="s">
        <v>41</v>
      </c>
      <c r="D97" s="64">
        <v>124.2</v>
      </c>
      <c r="E97" s="64">
        <v>131.4</v>
      </c>
      <c r="F97" s="64">
        <v>120.1</v>
      </c>
      <c r="G97" s="64">
        <v>128.5</v>
      </c>
      <c r="H97" s="64">
        <v>111.4</v>
      </c>
      <c r="I97" s="64">
        <v>132.30000000000001</v>
      </c>
      <c r="J97" s="64">
        <v>157.6</v>
      </c>
      <c r="K97" s="64">
        <v>144</v>
      </c>
      <c r="L97" s="64">
        <v>90.5</v>
      </c>
      <c r="M97" s="64">
        <v>126.8</v>
      </c>
      <c r="N97" s="64">
        <v>120.4</v>
      </c>
      <c r="O97" s="64">
        <v>132.1</v>
      </c>
      <c r="P97" s="64">
        <v>130.30000000000001</v>
      </c>
      <c r="Q97" s="64">
        <v>131.19999999999999</v>
      </c>
      <c r="R97" s="64">
        <v>127.2</v>
      </c>
      <c r="S97" s="64">
        <v>122.9</v>
      </c>
      <c r="T97" s="64">
        <v>126.6</v>
      </c>
      <c r="U97" s="64">
        <v>120.9</v>
      </c>
      <c r="V97" s="64">
        <v>120.6</v>
      </c>
      <c r="W97" s="64">
        <v>122</v>
      </c>
      <c r="X97" s="64">
        <v>119.4</v>
      </c>
      <c r="Y97" s="64">
        <v>111.7</v>
      </c>
      <c r="Z97" s="64">
        <v>117.8</v>
      </c>
      <c r="AA97" s="64">
        <v>125.1</v>
      </c>
      <c r="AB97" s="64">
        <v>112.3</v>
      </c>
      <c r="AC97" s="64">
        <v>117.2</v>
      </c>
      <c r="AD97" s="64">
        <v>124.8</v>
      </c>
    </row>
    <row r="98" spans="1:30">
      <c r="A98" s="64" t="s">
        <v>30</v>
      </c>
      <c r="B98" s="64">
        <v>2015</v>
      </c>
      <c r="C98" s="64" t="s">
        <v>42</v>
      </c>
      <c r="D98" s="64">
        <v>125.1</v>
      </c>
      <c r="E98" s="64">
        <v>131.1</v>
      </c>
      <c r="F98" s="64">
        <v>120.7</v>
      </c>
      <c r="G98" s="64">
        <v>129.19999999999999</v>
      </c>
      <c r="H98" s="64">
        <v>114.7</v>
      </c>
      <c r="I98" s="64">
        <v>132.30000000000001</v>
      </c>
      <c r="J98" s="64">
        <v>158.9</v>
      </c>
      <c r="K98" s="64">
        <v>142.1</v>
      </c>
      <c r="L98" s="64">
        <v>92.5</v>
      </c>
      <c r="M98" s="64">
        <v>125.4</v>
      </c>
      <c r="N98" s="64">
        <v>121.9</v>
      </c>
      <c r="O98" s="64">
        <v>132.69999999999999</v>
      </c>
      <c r="P98" s="64">
        <v>131</v>
      </c>
      <c r="Q98" s="64">
        <v>131</v>
      </c>
      <c r="R98" s="64">
        <v>130.4</v>
      </c>
      <c r="S98" s="64">
        <v>126.8</v>
      </c>
      <c r="T98" s="64">
        <v>129.9</v>
      </c>
      <c r="U98" s="64">
        <v>121.6</v>
      </c>
      <c r="V98" s="64">
        <v>123.7</v>
      </c>
      <c r="W98" s="64">
        <v>124.5</v>
      </c>
      <c r="X98" s="64">
        <v>121.4</v>
      </c>
      <c r="Y98" s="64">
        <v>113.8</v>
      </c>
      <c r="Z98" s="64">
        <v>119.6</v>
      </c>
      <c r="AA98" s="64">
        <v>124.5</v>
      </c>
      <c r="AB98" s="64">
        <v>113.7</v>
      </c>
      <c r="AC98" s="64">
        <v>118.8</v>
      </c>
      <c r="AD98" s="64">
        <v>127</v>
      </c>
    </row>
    <row r="99" spans="1:30">
      <c r="A99" s="64" t="s">
        <v>33</v>
      </c>
      <c r="B99" s="64">
        <v>2015</v>
      </c>
      <c r="C99" s="64" t="s">
        <v>42</v>
      </c>
      <c r="D99" s="64">
        <v>123.4</v>
      </c>
      <c r="E99" s="64">
        <v>129</v>
      </c>
      <c r="F99" s="64">
        <v>115.6</v>
      </c>
      <c r="G99" s="64">
        <v>128.30000000000001</v>
      </c>
      <c r="H99" s="64">
        <v>107</v>
      </c>
      <c r="I99" s="64">
        <v>124</v>
      </c>
      <c r="J99" s="64">
        <v>168.5</v>
      </c>
      <c r="K99" s="64">
        <v>165.4</v>
      </c>
      <c r="L99" s="64">
        <v>86.3</v>
      </c>
      <c r="M99" s="64">
        <v>134.4</v>
      </c>
      <c r="N99" s="64">
        <v>119.1</v>
      </c>
      <c r="O99" s="64">
        <v>132.30000000000001</v>
      </c>
      <c r="P99" s="64">
        <v>131.5</v>
      </c>
      <c r="Q99" s="64">
        <v>134.69999999999999</v>
      </c>
      <c r="R99" s="64">
        <v>124</v>
      </c>
      <c r="S99" s="64">
        <v>118.6</v>
      </c>
      <c r="T99" s="64">
        <v>123.2</v>
      </c>
      <c r="U99" s="64">
        <v>121.6</v>
      </c>
      <c r="V99" s="64">
        <v>115.1</v>
      </c>
      <c r="W99" s="64">
        <v>120.4</v>
      </c>
      <c r="X99" s="64">
        <v>117.1</v>
      </c>
      <c r="Y99" s="64">
        <v>109.1</v>
      </c>
      <c r="Z99" s="64">
        <v>117.3</v>
      </c>
      <c r="AA99" s="64">
        <v>126.5</v>
      </c>
      <c r="AB99" s="64">
        <v>112.9</v>
      </c>
      <c r="AC99" s="64">
        <v>116.2</v>
      </c>
      <c r="AD99" s="64">
        <v>123.5</v>
      </c>
    </row>
    <row r="100" spans="1:30">
      <c r="A100" s="64" t="s">
        <v>34</v>
      </c>
      <c r="B100" s="64">
        <v>2015</v>
      </c>
      <c r="C100" s="64" t="s">
        <v>42</v>
      </c>
      <c r="D100" s="64">
        <v>124.6</v>
      </c>
      <c r="E100" s="64">
        <v>130.4</v>
      </c>
      <c r="F100" s="64">
        <v>118.7</v>
      </c>
      <c r="G100" s="64">
        <v>128.9</v>
      </c>
      <c r="H100" s="64">
        <v>111.9</v>
      </c>
      <c r="I100" s="64">
        <v>128.4</v>
      </c>
      <c r="J100" s="64">
        <v>162.19999999999999</v>
      </c>
      <c r="K100" s="64">
        <v>150</v>
      </c>
      <c r="L100" s="64">
        <v>90.4</v>
      </c>
      <c r="M100" s="64">
        <v>128.4</v>
      </c>
      <c r="N100" s="64">
        <v>120.7</v>
      </c>
      <c r="O100" s="64">
        <v>132.5</v>
      </c>
      <c r="P100" s="64">
        <v>131.19999999999999</v>
      </c>
      <c r="Q100" s="64">
        <v>132</v>
      </c>
      <c r="R100" s="64">
        <v>127.9</v>
      </c>
      <c r="S100" s="64">
        <v>123.4</v>
      </c>
      <c r="T100" s="64">
        <v>127.2</v>
      </c>
      <c r="U100" s="64">
        <v>121.6</v>
      </c>
      <c r="V100" s="64">
        <v>120.4</v>
      </c>
      <c r="W100" s="64">
        <v>122.6</v>
      </c>
      <c r="X100" s="64">
        <v>119.8</v>
      </c>
      <c r="Y100" s="64">
        <v>111.3</v>
      </c>
      <c r="Z100" s="64">
        <v>118.3</v>
      </c>
      <c r="AA100" s="64">
        <v>125.7</v>
      </c>
      <c r="AB100" s="64">
        <v>113.4</v>
      </c>
      <c r="AC100" s="64">
        <v>117.5</v>
      </c>
      <c r="AD100" s="64">
        <v>125.4</v>
      </c>
    </row>
    <row r="101" spans="1:30">
      <c r="A101" s="64" t="s">
        <v>30</v>
      </c>
      <c r="B101" s="64">
        <v>2015</v>
      </c>
      <c r="C101" s="64" t="s">
        <v>43</v>
      </c>
      <c r="D101" s="64">
        <v>125.6</v>
      </c>
      <c r="E101" s="64">
        <v>130.4</v>
      </c>
      <c r="F101" s="64">
        <v>120.8</v>
      </c>
      <c r="G101" s="64">
        <v>129.4</v>
      </c>
      <c r="H101" s="64">
        <v>115.8</v>
      </c>
      <c r="I101" s="64">
        <v>133.19999999999999</v>
      </c>
      <c r="J101" s="64">
        <v>157.69999999999999</v>
      </c>
      <c r="K101" s="64">
        <v>154.19999999999999</v>
      </c>
      <c r="L101" s="64">
        <v>93.7</v>
      </c>
      <c r="M101" s="64">
        <v>126.6</v>
      </c>
      <c r="N101" s="64">
        <v>122.3</v>
      </c>
      <c r="O101" s="64">
        <v>133.1</v>
      </c>
      <c r="P101" s="64">
        <v>131.80000000000001</v>
      </c>
      <c r="Q101" s="64">
        <v>131.5</v>
      </c>
      <c r="R101" s="64">
        <v>131.1</v>
      </c>
      <c r="S101" s="64">
        <v>127.3</v>
      </c>
      <c r="T101" s="64">
        <v>130.6</v>
      </c>
      <c r="U101" s="64">
        <v>122.4</v>
      </c>
      <c r="V101" s="64">
        <v>124.4</v>
      </c>
      <c r="W101" s="64">
        <v>125.1</v>
      </c>
      <c r="X101" s="64">
        <v>122</v>
      </c>
      <c r="Y101" s="64">
        <v>113.8</v>
      </c>
      <c r="Z101" s="64">
        <v>120.1</v>
      </c>
      <c r="AA101" s="64">
        <v>125.1</v>
      </c>
      <c r="AB101" s="64">
        <v>114.2</v>
      </c>
      <c r="AC101" s="64">
        <v>119.2</v>
      </c>
      <c r="AD101" s="64">
        <v>127.7</v>
      </c>
    </row>
    <row r="102" spans="1:30">
      <c r="A102" s="64" t="s">
        <v>33</v>
      </c>
      <c r="B102" s="64">
        <v>2015</v>
      </c>
      <c r="C102" s="64" t="s">
        <v>43</v>
      </c>
      <c r="D102" s="64">
        <v>123.6</v>
      </c>
      <c r="E102" s="64">
        <v>128.6</v>
      </c>
      <c r="F102" s="64">
        <v>115.9</v>
      </c>
      <c r="G102" s="64">
        <v>128.5</v>
      </c>
      <c r="H102" s="64">
        <v>109</v>
      </c>
      <c r="I102" s="64">
        <v>124.1</v>
      </c>
      <c r="J102" s="64">
        <v>165.8</v>
      </c>
      <c r="K102" s="64">
        <v>187.2</v>
      </c>
      <c r="L102" s="64">
        <v>89.4</v>
      </c>
      <c r="M102" s="64">
        <v>135.80000000000001</v>
      </c>
      <c r="N102" s="64">
        <v>119.4</v>
      </c>
      <c r="O102" s="64">
        <v>132.9</v>
      </c>
      <c r="P102" s="64">
        <v>132.6</v>
      </c>
      <c r="Q102" s="64">
        <v>135.30000000000001</v>
      </c>
      <c r="R102" s="64">
        <v>124.4</v>
      </c>
      <c r="S102" s="64">
        <v>118.8</v>
      </c>
      <c r="T102" s="64">
        <v>123.6</v>
      </c>
      <c r="U102" s="64">
        <v>122.4</v>
      </c>
      <c r="V102" s="64">
        <v>114.9</v>
      </c>
      <c r="W102" s="64">
        <v>120.7</v>
      </c>
      <c r="X102" s="64">
        <v>117.7</v>
      </c>
      <c r="Y102" s="64">
        <v>109.3</v>
      </c>
      <c r="Z102" s="64">
        <v>117.7</v>
      </c>
      <c r="AA102" s="64">
        <v>126.5</v>
      </c>
      <c r="AB102" s="64">
        <v>113.5</v>
      </c>
      <c r="AC102" s="64">
        <v>116.5</v>
      </c>
      <c r="AD102" s="64">
        <v>124.2</v>
      </c>
    </row>
    <row r="103" spans="1:30">
      <c r="A103" s="64" t="s">
        <v>34</v>
      </c>
      <c r="B103" s="64">
        <v>2015</v>
      </c>
      <c r="C103" s="64" t="s">
        <v>43</v>
      </c>
      <c r="D103" s="64">
        <v>125</v>
      </c>
      <c r="E103" s="64">
        <v>129.80000000000001</v>
      </c>
      <c r="F103" s="64">
        <v>118.9</v>
      </c>
      <c r="G103" s="64">
        <v>129.1</v>
      </c>
      <c r="H103" s="64">
        <v>113.3</v>
      </c>
      <c r="I103" s="64">
        <v>129</v>
      </c>
      <c r="J103" s="64">
        <v>160.4</v>
      </c>
      <c r="K103" s="64">
        <v>165.3</v>
      </c>
      <c r="L103" s="64">
        <v>92.3</v>
      </c>
      <c r="M103" s="64">
        <v>129.69999999999999</v>
      </c>
      <c r="N103" s="64">
        <v>121.1</v>
      </c>
      <c r="O103" s="64">
        <v>133</v>
      </c>
      <c r="P103" s="64">
        <v>132.1</v>
      </c>
      <c r="Q103" s="64">
        <v>132.5</v>
      </c>
      <c r="R103" s="64">
        <v>128.5</v>
      </c>
      <c r="S103" s="64">
        <v>123.8</v>
      </c>
      <c r="T103" s="64">
        <v>127.8</v>
      </c>
      <c r="U103" s="64">
        <v>122.4</v>
      </c>
      <c r="V103" s="64">
        <v>120.8</v>
      </c>
      <c r="W103" s="64">
        <v>123</v>
      </c>
      <c r="X103" s="64">
        <v>120.4</v>
      </c>
      <c r="Y103" s="64">
        <v>111.4</v>
      </c>
      <c r="Z103" s="64">
        <v>118.7</v>
      </c>
      <c r="AA103" s="64">
        <v>125.9</v>
      </c>
      <c r="AB103" s="64">
        <v>113.9</v>
      </c>
      <c r="AC103" s="64">
        <v>117.9</v>
      </c>
      <c r="AD103" s="64">
        <v>126.1</v>
      </c>
    </row>
    <row r="104" spans="1:30">
      <c r="A104" s="64" t="s">
        <v>30</v>
      </c>
      <c r="B104" s="64">
        <v>2015</v>
      </c>
      <c r="C104" s="64" t="s">
        <v>45</v>
      </c>
      <c r="D104" s="64">
        <v>126.1</v>
      </c>
      <c r="E104" s="64">
        <v>130.6</v>
      </c>
      <c r="F104" s="64">
        <v>121.7</v>
      </c>
      <c r="G104" s="64">
        <v>129.5</v>
      </c>
      <c r="H104" s="64">
        <v>117.8</v>
      </c>
      <c r="I104" s="64">
        <v>132.1</v>
      </c>
      <c r="J104" s="64">
        <v>155.19999999999999</v>
      </c>
      <c r="K104" s="64">
        <v>160.80000000000001</v>
      </c>
      <c r="L104" s="64">
        <v>94.5</v>
      </c>
      <c r="M104" s="64">
        <v>128.30000000000001</v>
      </c>
      <c r="N104" s="64">
        <v>123.1</v>
      </c>
      <c r="O104" s="64">
        <v>134.19999999999999</v>
      </c>
      <c r="P104" s="64">
        <v>132.4</v>
      </c>
      <c r="Q104" s="64">
        <v>132.19999999999999</v>
      </c>
      <c r="R104" s="64">
        <v>132.1</v>
      </c>
      <c r="S104" s="64">
        <v>128.19999999999999</v>
      </c>
      <c r="T104" s="64">
        <v>131.5</v>
      </c>
      <c r="U104" s="64">
        <v>122.9</v>
      </c>
      <c r="V104" s="64">
        <v>125.6</v>
      </c>
      <c r="W104" s="64">
        <v>125.6</v>
      </c>
      <c r="X104" s="64">
        <v>122.6</v>
      </c>
      <c r="Y104" s="64">
        <v>114</v>
      </c>
      <c r="Z104" s="64">
        <v>120.9</v>
      </c>
      <c r="AA104" s="64">
        <v>125.8</v>
      </c>
      <c r="AB104" s="64">
        <v>114.2</v>
      </c>
      <c r="AC104" s="64">
        <v>119.6</v>
      </c>
      <c r="AD104" s="64">
        <v>128.30000000000001</v>
      </c>
    </row>
    <row r="105" spans="1:30">
      <c r="A105" s="64" t="s">
        <v>33</v>
      </c>
      <c r="B105" s="64">
        <v>2015</v>
      </c>
      <c r="C105" s="64" t="s">
        <v>45</v>
      </c>
      <c r="D105" s="64">
        <v>124</v>
      </c>
      <c r="E105" s="64">
        <v>129.80000000000001</v>
      </c>
      <c r="F105" s="64">
        <v>121.5</v>
      </c>
      <c r="G105" s="64">
        <v>128.6</v>
      </c>
      <c r="H105" s="64">
        <v>110</v>
      </c>
      <c r="I105" s="64">
        <v>123.7</v>
      </c>
      <c r="J105" s="64">
        <v>164.6</v>
      </c>
      <c r="K105" s="64">
        <v>191.6</v>
      </c>
      <c r="L105" s="64">
        <v>90.8</v>
      </c>
      <c r="M105" s="64">
        <v>137.1</v>
      </c>
      <c r="N105" s="64">
        <v>119.8</v>
      </c>
      <c r="O105" s="64">
        <v>133.69999999999999</v>
      </c>
      <c r="P105" s="64">
        <v>133.30000000000001</v>
      </c>
      <c r="Q105" s="64">
        <v>137.6</v>
      </c>
      <c r="R105" s="64">
        <v>125</v>
      </c>
      <c r="S105" s="64">
        <v>119.3</v>
      </c>
      <c r="T105" s="64">
        <v>124.2</v>
      </c>
      <c r="U105" s="64">
        <v>122.9</v>
      </c>
      <c r="V105" s="64">
        <v>115.1</v>
      </c>
      <c r="W105" s="64">
        <v>121</v>
      </c>
      <c r="X105" s="64">
        <v>118.1</v>
      </c>
      <c r="Y105" s="64">
        <v>109.3</v>
      </c>
      <c r="Z105" s="64">
        <v>117.9</v>
      </c>
      <c r="AA105" s="64">
        <v>126.6</v>
      </c>
      <c r="AB105" s="64">
        <v>113.3</v>
      </c>
      <c r="AC105" s="64">
        <v>116.6</v>
      </c>
      <c r="AD105" s="64">
        <v>124.6</v>
      </c>
    </row>
    <row r="106" spans="1:30">
      <c r="A106" s="64" t="s">
        <v>34</v>
      </c>
      <c r="B106" s="64">
        <v>2015</v>
      </c>
      <c r="C106" s="64" t="s">
        <v>45</v>
      </c>
      <c r="D106" s="64">
        <v>125.4</v>
      </c>
      <c r="E106" s="64">
        <v>130.30000000000001</v>
      </c>
      <c r="F106" s="64">
        <v>121.6</v>
      </c>
      <c r="G106" s="64">
        <v>129.19999999999999</v>
      </c>
      <c r="H106" s="64">
        <v>114.9</v>
      </c>
      <c r="I106" s="64">
        <v>128.19999999999999</v>
      </c>
      <c r="J106" s="64">
        <v>158.4</v>
      </c>
      <c r="K106" s="64">
        <v>171.2</v>
      </c>
      <c r="L106" s="64">
        <v>93.3</v>
      </c>
      <c r="M106" s="64">
        <v>131.19999999999999</v>
      </c>
      <c r="N106" s="64">
        <v>121.7</v>
      </c>
      <c r="O106" s="64">
        <v>134</v>
      </c>
      <c r="P106" s="64">
        <v>132.69999999999999</v>
      </c>
      <c r="Q106" s="64">
        <v>133.6</v>
      </c>
      <c r="R106" s="64">
        <v>129.30000000000001</v>
      </c>
      <c r="S106" s="64">
        <v>124.5</v>
      </c>
      <c r="T106" s="64">
        <v>128.6</v>
      </c>
      <c r="U106" s="64">
        <v>122.9</v>
      </c>
      <c r="V106" s="64">
        <v>121.6</v>
      </c>
      <c r="W106" s="64">
        <v>123.4</v>
      </c>
      <c r="X106" s="64">
        <v>120.9</v>
      </c>
      <c r="Y106" s="64">
        <v>111.5</v>
      </c>
      <c r="Z106" s="64">
        <v>119.2</v>
      </c>
      <c r="AA106" s="64">
        <v>126.3</v>
      </c>
      <c r="AB106" s="64">
        <v>113.8</v>
      </c>
      <c r="AC106" s="64">
        <v>118.1</v>
      </c>
      <c r="AD106" s="64">
        <v>126.6</v>
      </c>
    </row>
    <row r="107" spans="1:30">
      <c r="A107" s="64" t="s">
        <v>30</v>
      </c>
      <c r="B107" s="64">
        <v>2015</v>
      </c>
      <c r="C107" s="64" t="s">
        <v>46</v>
      </c>
      <c r="D107" s="64">
        <v>126.3</v>
      </c>
      <c r="E107" s="64">
        <v>131.30000000000001</v>
      </c>
      <c r="F107" s="64">
        <v>123.3</v>
      </c>
      <c r="G107" s="64">
        <v>129.80000000000001</v>
      </c>
      <c r="H107" s="64">
        <v>118.3</v>
      </c>
      <c r="I107" s="64">
        <v>131.6</v>
      </c>
      <c r="J107" s="64">
        <v>145.5</v>
      </c>
      <c r="K107" s="64">
        <v>162.1</v>
      </c>
      <c r="L107" s="64">
        <v>95.4</v>
      </c>
      <c r="M107" s="64">
        <v>128.9</v>
      </c>
      <c r="N107" s="64">
        <v>123.3</v>
      </c>
      <c r="O107" s="64">
        <v>135.1</v>
      </c>
      <c r="P107" s="64">
        <v>131.4</v>
      </c>
      <c r="Q107" s="64">
        <v>133.1</v>
      </c>
      <c r="R107" s="64">
        <v>132.5</v>
      </c>
      <c r="S107" s="64">
        <v>128.5</v>
      </c>
      <c r="T107" s="64">
        <v>131.9</v>
      </c>
      <c r="U107" s="64">
        <v>122.4</v>
      </c>
      <c r="V107" s="64">
        <v>125.7</v>
      </c>
      <c r="W107" s="64">
        <v>126</v>
      </c>
      <c r="X107" s="64">
        <v>123.1</v>
      </c>
      <c r="Y107" s="64">
        <v>114</v>
      </c>
      <c r="Z107" s="64">
        <v>121.6</v>
      </c>
      <c r="AA107" s="64">
        <v>125.6</v>
      </c>
      <c r="AB107" s="64">
        <v>114.1</v>
      </c>
      <c r="AC107" s="64">
        <v>119.8</v>
      </c>
      <c r="AD107" s="64">
        <v>127.9</v>
      </c>
    </row>
    <row r="108" spans="1:30">
      <c r="A108" s="64" t="s">
        <v>33</v>
      </c>
      <c r="B108" s="64">
        <v>2015</v>
      </c>
      <c r="C108" s="64" t="s">
        <v>46</v>
      </c>
      <c r="D108" s="64">
        <v>124.3</v>
      </c>
      <c r="E108" s="64">
        <v>131.69999999999999</v>
      </c>
      <c r="F108" s="64">
        <v>127.1</v>
      </c>
      <c r="G108" s="64">
        <v>128.6</v>
      </c>
      <c r="H108" s="64">
        <v>110</v>
      </c>
      <c r="I108" s="64">
        <v>120.8</v>
      </c>
      <c r="J108" s="64">
        <v>149</v>
      </c>
      <c r="K108" s="64">
        <v>190.1</v>
      </c>
      <c r="L108" s="64">
        <v>92.7</v>
      </c>
      <c r="M108" s="64">
        <v>138.6</v>
      </c>
      <c r="N108" s="64">
        <v>120.2</v>
      </c>
      <c r="O108" s="64">
        <v>134.19999999999999</v>
      </c>
      <c r="P108" s="64">
        <v>131.5</v>
      </c>
      <c r="Q108" s="64">
        <v>138.19999999999999</v>
      </c>
      <c r="R108" s="64">
        <v>125.4</v>
      </c>
      <c r="S108" s="64">
        <v>119.5</v>
      </c>
      <c r="T108" s="64">
        <v>124.5</v>
      </c>
      <c r="U108" s="64">
        <v>122.4</v>
      </c>
      <c r="V108" s="64">
        <v>116</v>
      </c>
      <c r="W108" s="64">
        <v>121</v>
      </c>
      <c r="X108" s="64">
        <v>118.6</v>
      </c>
      <c r="Y108" s="64">
        <v>109.3</v>
      </c>
      <c r="Z108" s="64">
        <v>118.1</v>
      </c>
      <c r="AA108" s="64">
        <v>126.6</v>
      </c>
      <c r="AB108" s="64">
        <v>113.2</v>
      </c>
      <c r="AC108" s="64">
        <v>116.7</v>
      </c>
      <c r="AD108" s="64">
        <v>124</v>
      </c>
    </row>
    <row r="109" spans="1:30">
      <c r="A109" s="64" t="s">
        <v>34</v>
      </c>
      <c r="B109" s="64">
        <v>2015</v>
      </c>
      <c r="C109" s="64" t="s">
        <v>46</v>
      </c>
      <c r="D109" s="64">
        <v>125.7</v>
      </c>
      <c r="E109" s="64">
        <v>131.4</v>
      </c>
      <c r="F109" s="64">
        <v>124.8</v>
      </c>
      <c r="G109" s="64">
        <v>129.4</v>
      </c>
      <c r="H109" s="64">
        <v>115.3</v>
      </c>
      <c r="I109" s="64">
        <v>126.6</v>
      </c>
      <c r="J109" s="64">
        <v>146.69999999999999</v>
      </c>
      <c r="K109" s="64">
        <v>171.5</v>
      </c>
      <c r="L109" s="64">
        <v>94.5</v>
      </c>
      <c r="M109" s="64">
        <v>132.1</v>
      </c>
      <c r="N109" s="64">
        <v>122</v>
      </c>
      <c r="O109" s="64">
        <v>134.69999999999999</v>
      </c>
      <c r="P109" s="64">
        <v>131.4</v>
      </c>
      <c r="Q109" s="64">
        <v>134.5</v>
      </c>
      <c r="R109" s="64">
        <v>129.69999999999999</v>
      </c>
      <c r="S109" s="64">
        <v>124.8</v>
      </c>
      <c r="T109" s="64">
        <v>129</v>
      </c>
      <c r="U109" s="64">
        <v>122.4</v>
      </c>
      <c r="V109" s="64">
        <v>122</v>
      </c>
      <c r="W109" s="64">
        <v>123.6</v>
      </c>
      <c r="X109" s="64">
        <v>121.4</v>
      </c>
      <c r="Y109" s="64">
        <v>111.5</v>
      </c>
      <c r="Z109" s="64">
        <v>119.6</v>
      </c>
      <c r="AA109" s="64">
        <v>126.2</v>
      </c>
      <c r="AB109" s="64">
        <v>113.7</v>
      </c>
      <c r="AC109" s="64">
        <v>118.3</v>
      </c>
      <c r="AD109" s="64">
        <v>126.1</v>
      </c>
    </row>
    <row r="110" spans="1:30">
      <c r="A110" s="64" t="s">
        <v>30</v>
      </c>
      <c r="B110" s="64">
        <v>2016</v>
      </c>
      <c r="C110" s="64" t="s">
        <v>31</v>
      </c>
      <c r="D110" s="64">
        <v>126.8</v>
      </c>
      <c r="E110" s="64">
        <v>133.19999999999999</v>
      </c>
      <c r="F110" s="64">
        <v>126.5</v>
      </c>
      <c r="G110" s="64">
        <v>130.30000000000001</v>
      </c>
      <c r="H110" s="64">
        <v>118.9</v>
      </c>
      <c r="I110" s="64">
        <v>131.6</v>
      </c>
      <c r="J110" s="64">
        <v>140.1</v>
      </c>
      <c r="K110" s="64">
        <v>163.80000000000001</v>
      </c>
      <c r="L110" s="64">
        <v>97.7</v>
      </c>
      <c r="M110" s="64">
        <v>129.6</v>
      </c>
      <c r="N110" s="64">
        <v>124.3</v>
      </c>
      <c r="O110" s="64">
        <v>135.9</v>
      </c>
      <c r="P110" s="64">
        <v>131.4</v>
      </c>
      <c r="Q110" s="64">
        <v>133.6</v>
      </c>
      <c r="R110" s="64">
        <v>133.19999999999999</v>
      </c>
      <c r="S110" s="64">
        <v>128.9</v>
      </c>
      <c r="T110" s="64">
        <v>132.6</v>
      </c>
      <c r="U110" s="64">
        <v>123.4</v>
      </c>
      <c r="V110" s="64">
        <v>126.2</v>
      </c>
      <c r="W110" s="64">
        <v>126.6</v>
      </c>
      <c r="X110" s="64">
        <v>123.7</v>
      </c>
      <c r="Y110" s="64">
        <v>113.6</v>
      </c>
      <c r="Z110" s="64">
        <v>121.4</v>
      </c>
      <c r="AA110" s="64">
        <v>126.2</v>
      </c>
      <c r="AB110" s="64">
        <v>114.9</v>
      </c>
      <c r="AC110" s="64">
        <v>120.1</v>
      </c>
      <c r="AD110" s="64">
        <v>128.1</v>
      </c>
    </row>
    <row r="111" spans="1:30">
      <c r="A111" s="64" t="s">
        <v>33</v>
      </c>
      <c r="B111" s="64">
        <v>2016</v>
      </c>
      <c r="C111" s="64" t="s">
        <v>31</v>
      </c>
      <c r="D111" s="64">
        <v>124.7</v>
      </c>
      <c r="E111" s="64">
        <v>135.9</v>
      </c>
      <c r="F111" s="64">
        <v>132</v>
      </c>
      <c r="G111" s="64">
        <v>129.19999999999999</v>
      </c>
      <c r="H111" s="64">
        <v>109.7</v>
      </c>
      <c r="I111" s="64">
        <v>119</v>
      </c>
      <c r="J111" s="64">
        <v>144.1</v>
      </c>
      <c r="K111" s="64">
        <v>184.2</v>
      </c>
      <c r="L111" s="64">
        <v>96.7</v>
      </c>
      <c r="M111" s="64">
        <v>139.5</v>
      </c>
      <c r="N111" s="64">
        <v>120.5</v>
      </c>
      <c r="O111" s="64">
        <v>134.69999999999999</v>
      </c>
      <c r="P111" s="64">
        <v>131.19999999999999</v>
      </c>
      <c r="Q111" s="64">
        <v>139.5</v>
      </c>
      <c r="R111" s="64">
        <v>125.8</v>
      </c>
      <c r="S111" s="64">
        <v>119.8</v>
      </c>
      <c r="T111" s="64">
        <v>124.9</v>
      </c>
      <c r="U111" s="64">
        <v>123.4</v>
      </c>
      <c r="V111" s="64">
        <v>116.9</v>
      </c>
      <c r="W111" s="64">
        <v>121.6</v>
      </c>
      <c r="X111" s="64">
        <v>119.1</v>
      </c>
      <c r="Y111" s="64">
        <v>108.9</v>
      </c>
      <c r="Z111" s="64">
        <v>118.5</v>
      </c>
      <c r="AA111" s="64">
        <v>126.4</v>
      </c>
      <c r="AB111" s="64">
        <v>114</v>
      </c>
      <c r="AC111" s="64">
        <v>116.8</v>
      </c>
      <c r="AD111" s="64">
        <v>124.2</v>
      </c>
    </row>
    <row r="112" spans="1:30">
      <c r="A112" s="64" t="s">
        <v>34</v>
      </c>
      <c r="B112" s="64">
        <v>2016</v>
      </c>
      <c r="C112" s="64" t="s">
        <v>31</v>
      </c>
      <c r="D112" s="64">
        <v>126.1</v>
      </c>
      <c r="E112" s="64">
        <v>134.1</v>
      </c>
      <c r="F112" s="64">
        <v>128.6</v>
      </c>
      <c r="G112" s="64">
        <v>129.9</v>
      </c>
      <c r="H112" s="64">
        <v>115.5</v>
      </c>
      <c r="I112" s="64">
        <v>125.7</v>
      </c>
      <c r="J112" s="64">
        <v>141.5</v>
      </c>
      <c r="K112" s="64">
        <v>170.7</v>
      </c>
      <c r="L112" s="64">
        <v>97.4</v>
      </c>
      <c r="M112" s="64">
        <v>132.9</v>
      </c>
      <c r="N112" s="64">
        <v>122.7</v>
      </c>
      <c r="O112" s="64">
        <v>135.30000000000001</v>
      </c>
      <c r="P112" s="64">
        <v>131.30000000000001</v>
      </c>
      <c r="Q112" s="64">
        <v>135.19999999999999</v>
      </c>
      <c r="R112" s="64">
        <v>130.30000000000001</v>
      </c>
      <c r="S112" s="64">
        <v>125.1</v>
      </c>
      <c r="T112" s="64">
        <v>129.5</v>
      </c>
      <c r="U112" s="64">
        <v>123.4</v>
      </c>
      <c r="V112" s="64">
        <v>122.7</v>
      </c>
      <c r="W112" s="64">
        <v>124.2</v>
      </c>
      <c r="X112" s="64">
        <v>122</v>
      </c>
      <c r="Y112" s="64">
        <v>111.1</v>
      </c>
      <c r="Z112" s="64">
        <v>119.8</v>
      </c>
      <c r="AA112" s="64">
        <v>126.3</v>
      </c>
      <c r="AB112" s="64">
        <v>114.5</v>
      </c>
      <c r="AC112" s="64">
        <v>118.5</v>
      </c>
      <c r="AD112" s="64">
        <v>126.3</v>
      </c>
    </row>
    <row r="113" spans="1:30">
      <c r="A113" s="64" t="s">
        <v>30</v>
      </c>
      <c r="B113" s="64">
        <v>2016</v>
      </c>
      <c r="C113" s="64" t="s">
        <v>35</v>
      </c>
      <c r="D113" s="64">
        <v>127.1</v>
      </c>
      <c r="E113" s="64">
        <v>133.69999999999999</v>
      </c>
      <c r="F113" s="64">
        <v>127.7</v>
      </c>
      <c r="G113" s="64">
        <v>130.69999999999999</v>
      </c>
      <c r="H113" s="64">
        <v>118.5</v>
      </c>
      <c r="I113" s="64">
        <v>130.4</v>
      </c>
      <c r="J113" s="64">
        <v>130.9</v>
      </c>
      <c r="K113" s="64">
        <v>162.80000000000001</v>
      </c>
      <c r="L113" s="64">
        <v>98.7</v>
      </c>
      <c r="M113" s="64">
        <v>130.6</v>
      </c>
      <c r="N113" s="64">
        <v>124.8</v>
      </c>
      <c r="O113" s="64">
        <v>136.4</v>
      </c>
      <c r="P113" s="64">
        <v>130.30000000000001</v>
      </c>
      <c r="Q113" s="64">
        <v>134.4</v>
      </c>
      <c r="R113" s="64">
        <v>133.9</v>
      </c>
      <c r="S113" s="64">
        <v>129.80000000000001</v>
      </c>
      <c r="T113" s="64">
        <v>133.4</v>
      </c>
      <c r="U113" s="64">
        <v>124.4</v>
      </c>
      <c r="V113" s="64">
        <v>127.5</v>
      </c>
      <c r="W113" s="64">
        <v>127.1</v>
      </c>
      <c r="X113" s="64">
        <v>124.3</v>
      </c>
      <c r="Y113" s="64">
        <v>113.9</v>
      </c>
      <c r="Z113" s="64">
        <v>122.3</v>
      </c>
      <c r="AA113" s="64">
        <v>127.1</v>
      </c>
      <c r="AB113" s="64">
        <v>116.8</v>
      </c>
      <c r="AC113" s="64">
        <v>120.9</v>
      </c>
      <c r="AD113" s="64">
        <v>127.9</v>
      </c>
    </row>
    <row r="114" spans="1:30">
      <c r="A114" s="64" t="s">
        <v>33</v>
      </c>
      <c r="B114" s="64">
        <v>2016</v>
      </c>
      <c r="C114" s="64" t="s">
        <v>35</v>
      </c>
      <c r="D114" s="64">
        <v>124.8</v>
      </c>
      <c r="E114" s="64">
        <v>135.1</v>
      </c>
      <c r="F114" s="64">
        <v>130.30000000000001</v>
      </c>
      <c r="G114" s="64">
        <v>129.6</v>
      </c>
      <c r="H114" s="64">
        <v>108.4</v>
      </c>
      <c r="I114" s="64">
        <v>118.6</v>
      </c>
      <c r="J114" s="64">
        <v>129.19999999999999</v>
      </c>
      <c r="K114" s="64">
        <v>176.4</v>
      </c>
      <c r="L114" s="64">
        <v>99.1</v>
      </c>
      <c r="M114" s="64">
        <v>139.69999999999999</v>
      </c>
      <c r="N114" s="64">
        <v>120.6</v>
      </c>
      <c r="O114" s="64">
        <v>135.19999999999999</v>
      </c>
      <c r="P114" s="64">
        <v>129.1</v>
      </c>
      <c r="Q114" s="64">
        <v>140</v>
      </c>
      <c r="R114" s="64">
        <v>126.2</v>
      </c>
      <c r="S114" s="64">
        <v>120.1</v>
      </c>
      <c r="T114" s="64">
        <v>125.3</v>
      </c>
      <c r="U114" s="64">
        <v>124.4</v>
      </c>
      <c r="V114" s="64">
        <v>116</v>
      </c>
      <c r="W114" s="64">
        <v>121.8</v>
      </c>
      <c r="X114" s="64">
        <v>119.5</v>
      </c>
      <c r="Y114" s="64">
        <v>109.1</v>
      </c>
      <c r="Z114" s="64">
        <v>118.8</v>
      </c>
      <c r="AA114" s="64">
        <v>126.3</v>
      </c>
      <c r="AB114" s="64">
        <v>116.2</v>
      </c>
      <c r="AC114" s="64">
        <v>117.2</v>
      </c>
      <c r="AD114" s="64">
        <v>123.8</v>
      </c>
    </row>
    <row r="115" spans="1:30">
      <c r="A115" s="64" t="s">
        <v>34</v>
      </c>
      <c r="B115" s="64">
        <v>2016</v>
      </c>
      <c r="C115" s="64" t="s">
        <v>35</v>
      </c>
      <c r="D115" s="64">
        <v>126.4</v>
      </c>
      <c r="E115" s="64">
        <v>134.19999999999999</v>
      </c>
      <c r="F115" s="64">
        <v>128.69999999999999</v>
      </c>
      <c r="G115" s="64">
        <v>130.30000000000001</v>
      </c>
      <c r="H115" s="64">
        <v>114.8</v>
      </c>
      <c r="I115" s="64">
        <v>124.9</v>
      </c>
      <c r="J115" s="64">
        <v>130.30000000000001</v>
      </c>
      <c r="K115" s="64">
        <v>167.4</v>
      </c>
      <c r="L115" s="64">
        <v>98.8</v>
      </c>
      <c r="M115" s="64">
        <v>133.6</v>
      </c>
      <c r="N115" s="64">
        <v>123</v>
      </c>
      <c r="O115" s="64">
        <v>135.80000000000001</v>
      </c>
      <c r="P115" s="64">
        <v>129.9</v>
      </c>
      <c r="Q115" s="64">
        <v>135.9</v>
      </c>
      <c r="R115" s="64">
        <v>130.9</v>
      </c>
      <c r="S115" s="64">
        <v>125.8</v>
      </c>
      <c r="T115" s="64">
        <v>130.19999999999999</v>
      </c>
      <c r="U115" s="64">
        <v>124.4</v>
      </c>
      <c r="V115" s="64">
        <v>123.1</v>
      </c>
      <c r="W115" s="64">
        <v>124.6</v>
      </c>
      <c r="X115" s="64">
        <v>122.5</v>
      </c>
      <c r="Y115" s="64">
        <v>111.4</v>
      </c>
      <c r="Z115" s="64">
        <v>120.3</v>
      </c>
      <c r="AA115" s="64">
        <v>126.6</v>
      </c>
      <c r="AB115" s="64">
        <v>116.6</v>
      </c>
      <c r="AC115" s="64">
        <v>119.1</v>
      </c>
      <c r="AD115" s="64">
        <v>126</v>
      </c>
    </row>
    <row r="116" spans="1:30">
      <c r="A116" s="64" t="s">
        <v>30</v>
      </c>
      <c r="B116" s="64">
        <v>2016</v>
      </c>
      <c r="C116" s="64" t="s">
        <v>36</v>
      </c>
      <c r="D116" s="64">
        <v>127.3</v>
      </c>
      <c r="E116" s="64">
        <v>134.4</v>
      </c>
      <c r="F116" s="64">
        <v>125.1</v>
      </c>
      <c r="G116" s="64">
        <v>130.5</v>
      </c>
      <c r="H116" s="64">
        <v>118.3</v>
      </c>
      <c r="I116" s="64">
        <v>131.69999999999999</v>
      </c>
      <c r="J116" s="64">
        <v>130.69999999999999</v>
      </c>
      <c r="K116" s="64">
        <v>161.19999999999999</v>
      </c>
      <c r="L116" s="64">
        <v>100.4</v>
      </c>
      <c r="M116" s="64">
        <v>130.80000000000001</v>
      </c>
      <c r="N116" s="64">
        <v>124.9</v>
      </c>
      <c r="O116" s="64">
        <v>137</v>
      </c>
      <c r="P116" s="64">
        <v>130.4</v>
      </c>
      <c r="Q116" s="64">
        <v>135</v>
      </c>
      <c r="R116" s="64">
        <v>134.4</v>
      </c>
      <c r="S116" s="64">
        <v>130.19999999999999</v>
      </c>
      <c r="T116" s="64">
        <v>133.80000000000001</v>
      </c>
      <c r="U116" s="64">
        <v>124.9</v>
      </c>
      <c r="V116" s="64">
        <v>127</v>
      </c>
      <c r="W116" s="64">
        <v>127.7</v>
      </c>
      <c r="X116" s="64">
        <v>124.8</v>
      </c>
      <c r="Y116" s="64">
        <v>113.6</v>
      </c>
      <c r="Z116" s="64">
        <v>122.5</v>
      </c>
      <c r="AA116" s="64">
        <v>127.5</v>
      </c>
      <c r="AB116" s="64">
        <v>117.4</v>
      </c>
      <c r="AC116" s="64">
        <v>121.1</v>
      </c>
      <c r="AD116" s="64">
        <v>128</v>
      </c>
    </row>
    <row r="117" spans="1:30">
      <c r="A117" s="64" t="s">
        <v>33</v>
      </c>
      <c r="B117" s="64">
        <v>2016</v>
      </c>
      <c r="C117" s="64" t="s">
        <v>36</v>
      </c>
      <c r="D117" s="64">
        <v>124.8</v>
      </c>
      <c r="E117" s="64">
        <v>136.30000000000001</v>
      </c>
      <c r="F117" s="64">
        <v>123.7</v>
      </c>
      <c r="G117" s="64">
        <v>129.69999999999999</v>
      </c>
      <c r="H117" s="64">
        <v>107.9</v>
      </c>
      <c r="I117" s="64">
        <v>119.9</v>
      </c>
      <c r="J117" s="64">
        <v>128.1</v>
      </c>
      <c r="K117" s="64">
        <v>170.3</v>
      </c>
      <c r="L117" s="64">
        <v>101.8</v>
      </c>
      <c r="M117" s="64">
        <v>140.1</v>
      </c>
      <c r="N117" s="64">
        <v>120.7</v>
      </c>
      <c r="O117" s="64">
        <v>135.4</v>
      </c>
      <c r="P117" s="64">
        <v>128.9</v>
      </c>
      <c r="Q117" s="64">
        <v>140.6</v>
      </c>
      <c r="R117" s="64">
        <v>126.4</v>
      </c>
      <c r="S117" s="64">
        <v>120.3</v>
      </c>
      <c r="T117" s="64">
        <v>125.5</v>
      </c>
      <c r="U117" s="64">
        <v>124.9</v>
      </c>
      <c r="V117" s="64">
        <v>114.8</v>
      </c>
      <c r="W117" s="64">
        <v>122.3</v>
      </c>
      <c r="X117" s="64">
        <v>119.7</v>
      </c>
      <c r="Y117" s="64">
        <v>108.5</v>
      </c>
      <c r="Z117" s="64">
        <v>119.1</v>
      </c>
      <c r="AA117" s="64">
        <v>126.4</v>
      </c>
      <c r="AB117" s="64">
        <v>117.1</v>
      </c>
      <c r="AC117" s="64">
        <v>117.3</v>
      </c>
      <c r="AD117" s="64">
        <v>123.8</v>
      </c>
    </row>
    <row r="118" spans="1:30">
      <c r="A118" s="64" t="s">
        <v>34</v>
      </c>
      <c r="B118" s="64">
        <v>2016</v>
      </c>
      <c r="C118" s="64" t="s">
        <v>36</v>
      </c>
      <c r="D118" s="64">
        <v>126.5</v>
      </c>
      <c r="E118" s="64">
        <v>135.1</v>
      </c>
      <c r="F118" s="64">
        <v>124.6</v>
      </c>
      <c r="G118" s="64">
        <v>130.19999999999999</v>
      </c>
      <c r="H118" s="64">
        <v>114.5</v>
      </c>
      <c r="I118" s="64">
        <v>126.2</v>
      </c>
      <c r="J118" s="64">
        <v>129.80000000000001</v>
      </c>
      <c r="K118" s="64">
        <v>164.3</v>
      </c>
      <c r="L118" s="64">
        <v>100.9</v>
      </c>
      <c r="M118" s="64">
        <v>133.9</v>
      </c>
      <c r="N118" s="64">
        <v>123.1</v>
      </c>
      <c r="O118" s="64">
        <v>136.30000000000001</v>
      </c>
      <c r="P118" s="64">
        <v>129.80000000000001</v>
      </c>
      <c r="Q118" s="64">
        <v>136.5</v>
      </c>
      <c r="R118" s="64">
        <v>131.30000000000001</v>
      </c>
      <c r="S118" s="64">
        <v>126.1</v>
      </c>
      <c r="T118" s="64">
        <v>130.5</v>
      </c>
      <c r="U118" s="64">
        <v>124.9</v>
      </c>
      <c r="V118" s="64">
        <v>122.4</v>
      </c>
      <c r="W118" s="64">
        <v>125.1</v>
      </c>
      <c r="X118" s="64">
        <v>122.9</v>
      </c>
      <c r="Y118" s="64">
        <v>110.9</v>
      </c>
      <c r="Z118" s="64">
        <v>120.6</v>
      </c>
      <c r="AA118" s="64">
        <v>126.9</v>
      </c>
      <c r="AB118" s="64">
        <v>117.3</v>
      </c>
      <c r="AC118" s="64">
        <v>119.3</v>
      </c>
      <c r="AD118" s="64">
        <v>126</v>
      </c>
    </row>
    <row r="119" spans="1:30">
      <c r="A119" s="64" t="s">
        <v>30</v>
      </c>
      <c r="B119" s="64">
        <v>2016</v>
      </c>
      <c r="C119" s="64" t="s">
        <v>37</v>
      </c>
      <c r="D119" s="64">
        <v>127.4</v>
      </c>
      <c r="E119" s="64">
        <v>135.4</v>
      </c>
      <c r="F119" s="64">
        <v>123.4</v>
      </c>
      <c r="G119" s="64">
        <v>131.30000000000001</v>
      </c>
      <c r="H119" s="64">
        <v>118.2</v>
      </c>
      <c r="I119" s="64">
        <v>138.1</v>
      </c>
      <c r="J119" s="64">
        <v>134.1</v>
      </c>
      <c r="K119" s="64">
        <v>162.69999999999999</v>
      </c>
      <c r="L119" s="64">
        <v>105</v>
      </c>
      <c r="M119" s="64">
        <v>131.4</v>
      </c>
      <c r="N119" s="64">
        <v>125.4</v>
      </c>
      <c r="O119" s="64">
        <v>137.4</v>
      </c>
      <c r="P119" s="64">
        <v>131.80000000000001</v>
      </c>
      <c r="Q119" s="64">
        <v>135.5</v>
      </c>
      <c r="R119" s="64">
        <v>135</v>
      </c>
      <c r="S119" s="64">
        <v>130.6</v>
      </c>
      <c r="T119" s="64">
        <v>134.4</v>
      </c>
      <c r="U119" s="64">
        <v>125.6</v>
      </c>
      <c r="V119" s="64">
        <v>127</v>
      </c>
      <c r="W119" s="64">
        <v>128</v>
      </c>
      <c r="X119" s="64">
        <v>125.2</v>
      </c>
      <c r="Y119" s="64">
        <v>114.4</v>
      </c>
      <c r="Z119" s="64">
        <v>123.2</v>
      </c>
      <c r="AA119" s="64">
        <v>127.9</v>
      </c>
      <c r="AB119" s="64">
        <v>118.4</v>
      </c>
      <c r="AC119" s="64">
        <v>121.7</v>
      </c>
      <c r="AD119" s="64">
        <v>129</v>
      </c>
    </row>
    <row r="120" spans="1:30">
      <c r="A120" s="64" t="s">
        <v>33</v>
      </c>
      <c r="B120" s="64">
        <v>2016</v>
      </c>
      <c r="C120" s="64" t="s">
        <v>37</v>
      </c>
      <c r="D120" s="64">
        <v>124.9</v>
      </c>
      <c r="E120" s="64">
        <v>139.30000000000001</v>
      </c>
      <c r="F120" s="64">
        <v>119.9</v>
      </c>
      <c r="G120" s="64">
        <v>130.19999999999999</v>
      </c>
      <c r="H120" s="64">
        <v>108.9</v>
      </c>
      <c r="I120" s="64">
        <v>131.1</v>
      </c>
      <c r="J120" s="64">
        <v>136.80000000000001</v>
      </c>
      <c r="K120" s="64">
        <v>176.9</v>
      </c>
      <c r="L120" s="64">
        <v>109.1</v>
      </c>
      <c r="M120" s="64">
        <v>140.4</v>
      </c>
      <c r="N120" s="64">
        <v>121.1</v>
      </c>
      <c r="O120" s="64">
        <v>135.9</v>
      </c>
      <c r="P120" s="64">
        <v>131.80000000000001</v>
      </c>
      <c r="Q120" s="64">
        <v>141.5</v>
      </c>
      <c r="R120" s="64">
        <v>126.8</v>
      </c>
      <c r="S120" s="64">
        <v>120.5</v>
      </c>
      <c r="T120" s="64">
        <v>125.8</v>
      </c>
      <c r="U120" s="64">
        <v>125.6</v>
      </c>
      <c r="V120" s="64">
        <v>114.6</v>
      </c>
      <c r="W120" s="64">
        <v>122.8</v>
      </c>
      <c r="X120" s="64">
        <v>120</v>
      </c>
      <c r="Y120" s="64">
        <v>110</v>
      </c>
      <c r="Z120" s="64">
        <v>119.5</v>
      </c>
      <c r="AA120" s="64">
        <v>127.6</v>
      </c>
      <c r="AB120" s="64">
        <v>117.6</v>
      </c>
      <c r="AC120" s="64">
        <v>118.2</v>
      </c>
      <c r="AD120" s="64">
        <v>125.3</v>
      </c>
    </row>
    <row r="121" spans="1:30">
      <c r="A121" s="64" t="s">
        <v>34</v>
      </c>
      <c r="B121" s="64">
        <v>2016</v>
      </c>
      <c r="C121" s="64" t="s">
        <v>37</v>
      </c>
      <c r="D121" s="64">
        <v>126.6</v>
      </c>
      <c r="E121" s="64">
        <v>136.80000000000001</v>
      </c>
      <c r="F121" s="64">
        <v>122</v>
      </c>
      <c r="G121" s="64">
        <v>130.9</v>
      </c>
      <c r="H121" s="64">
        <v>114.8</v>
      </c>
      <c r="I121" s="64">
        <v>134.80000000000001</v>
      </c>
      <c r="J121" s="64">
        <v>135</v>
      </c>
      <c r="K121" s="64">
        <v>167.5</v>
      </c>
      <c r="L121" s="64">
        <v>106.4</v>
      </c>
      <c r="M121" s="64">
        <v>134.4</v>
      </c>
      <c r="N121" s="64">
        <v>123.6</v>
      </c>
      <c r="O121" s="64">
        <v>136.69999999999999</v>
      </c>
      <c r="P121" s="64">
        <v>131.80000000000001</v>
      </c>
      <c r="Q121" s="64">
        <v>137.1</v>
      </c>
      <c r="R121" s="64">
        <v>131.80000000000001</v>
      </c>
      <c r="S121" s="64">
        <v>126.4</v>
      </c>
      <c r="T121" s="64">
        <v>131</v>
      </c>
      <c r="U121" s="64">
        <v>125.6</v>
      </c>
      <c r="V121" s="64">
        <v>122.3</v>
      </c>
      <c r="W121" s="64">
        <v>125.5</v>
      </c>
      <c r="X121" s="64">
        <v>123.2</v>
      </c>
      <c r="Y121" s="64">
        <v>112.1</v>
      </c>
      <c r="Z121" s="64">
        <v>121.1</v>
      </c>
      <c r="AA121" s="64">
        <v>127.7</v>
      </c>
      <c r="AB121" s="64">
        <v>118.1</v>
      </c>
      <c r="AC121" s="64">
        <v>120</v>
      </c>
      <c r="AD121" s="64">
        <v>127.3</v>
      </c>
    </row>
    <row r="122" spans="1:30">
      <c r="A122" s="64" t="s">
        <v>30</v>
      </c>
      <c r="B122" s="64">
        <v>2016</v>
      </c>
      <c r="C122" s="64" t="s">
        <v>38</v>
      </c>
      <c r="D122" s="64">
        <v>127.6</v>
      </c>
      <c r="E122" s="64">
        <v>137.5</v>
      </c>
      <c r="F122" s="64">
        <v>124.4</v>
      </c>
      <c r="G122" s="64">
        <v>132.4</v>
      </c>
      <c r="H122" s="64">
        <v>118.2</v>
      </c>
      <c r="I122" s="64">
        <v>138.1</v>
      </c>
      <c r="J122" s="64">
        <v>141.80000000000001</v>
      </c>
      <c r="K122" s="64">
        <v>166</v>
      </c>
      <c r="L122" s="64">
        <v>107.5</v>
      </c>
      <c r="M122" s="64">
        <v>132.19999999999999</v>
      </c>
      <c r="N122" s="64">
        <v>126.1</v>
      </c>
      <c r="O122" s="64">
        <v>138.30000000000001</v>
      </c>
      <c r="P122" s="64">
        <v>133.6</v>
      </c>
      <c r="Q122" s="64">
        <v>136</v>
      </c>
      <c r="R122" s="64">
        <v>135.4</v>
      </c>
      <c r="S122" s="64">
        <v>131.1</v>
      </c>
      <c r="T122" s="64">
        <v>134.80000000000001</v>
      </c>
      <c r="U122" s="64">
        <v>126</v>
      </c>
      <c r="V122" s="64">
        <v>127.4</v>
      </c>
      <c r="W122" s="64">
        <v>128.5</v>
      </c>
      <c r="X122" s="64">
        <v>125.8</v>
      </c>
      <c r="Y122" s="64">
        <v>115.1</v>
      </c>
      <c r="Z122" s="64">
        <v>123.6</v>
      </c>
      <c r="AA122" s="64">
        <v>129.1</v>
      </c>
      <c r="AB122" s="64">
        <v>119.7</v>
      </c>
      <c r="AC122" s="64">
        <v>122.5</v>
      </c>
      <c r="AD122" s="64">
        <v>130.30000000000001</v>
      </c>
    </row>
    <row r="123" spans="1:30">
      <c r="A123" s="64" t="s">
        <v>33</v>
      </c>
      <c r="B123" s="64">
        <v>2016</v>
      </c>
      <c r="C123" s="64" t="s">
        <v>38</v>
      </c>
      <c r="D123" s="64">
        <v>125</v>
      </c>
      <c r="E123" s="64">
        <v>142.1</v>
      </c>
      <c r="F123" s="64">
        <v>127</v>
      </c>
      <c r="G123" s="64">
        <v>130.4</v>
      </c>
      <c r="H123" s="64">
        <v>109.6</v>
      </c>
      <c r="I123" s="64">
        <v>133.5</v>
      </c>
      <c r="J123" s="64">
        <v>151.4</v>
      </c>
      <c r="K123" s="64">
        <v>182.8</v>
      </c>
      <c r="L123" s="64">
        <v>111.1</v>
      </c>
      <c r="M123" s="64">
        <v>141.5</v>
      </c>
      <c r="N123" s="64">
        <v>121.5</v>
      </c>
      <c r="O123" s="64">
        <v>136.30000000000001</v>
      </c>
      <c r="P123" s="64">
        <v>134.6</v>
      </c>
      <c r="Q123" s="64">
        <v>142.19999999999999</v>
      </c>
      <c r="R123" s="64">
        <v>127.2</v>
      </c>
      <c r="S123" s="64">
        <v>120.7</v>
      </c>
      <c r="T123" s="64">
        <v>126.2</v>
      </c>
      <c r="U123" s="64">
        <v>126</v>
      </c>
      <c r="V123" s="64">
        <v>115</v>
      </c>
      <c r="W123" s="64">
        <v>123.2</v>
      </c>
      <c r="X123" s="64">
        <v>120.3</v>
      </c>
      <c r="Y123" s="64">
        <v>110.7</v>
      </c>
      <c r="Z123" s="64">
        <v>119.8</v>
      </c>
      <c r="AA123" s="64">
        <v>128</v>
      </c>
      <c r="AB123" s="64">
        <v>118.5</v>
      </c>
      <c r="AC123" s="64">
        <v>118.7</v>
      </c>
      <c r="AD123" s="64">
        <v>126.6</v>
      </c>
    </row>
    <row r="124" spans="1:30">
      <c r="A124" s="64" t="s">
        <v>34</v>
      </c>
      <c r="B124" s="64">
        <v>2016</v>
      </c>
      <c r="C124" s="64" t="s">
        <v>38</v>
      </c>
      <c r="D124" s="64">
        <v>126.8</v>
      </c>
      <c r="E124" s="64">
        <v>139.1</v>
      </c>
      <c r="F124" s="64">
        <v>125.4</v>
      </c>
      <c r="G124" s="64">
        <v>131.69999999999999</v>
      </c>
      <c r="H124" s="64">
        <v>115</v>
      </c>
      <c r="I124" s="64">
        <v>136</v>
      </c>
      <c r="J124" s="64">
        <v>145.1</v>
      </c>
      <c r="K124" s="64">
        <v>171.7</v>
      </c>
      <c r="L124" s="64">
        <v>108.7</v>
      </c>
      <c r="M124" s="64">
        <v>135.30000000000001</v>
      </c>
      <c r="N124" s="64">
        <v>124.2</v>
      </c>
      <c r="O124" s="64">
        <v>137.4</v>
      </c>
      <c r="P124" s="64">
        <v>134</v>
      </c>
      <c r="Q124" s="64">
        <v>137.69999999999999</v>
      </c>
      <c r="R124" s="64">
        <v>132.19999999999999</v>
      </c>
      <c r="S124" s="64">
        <v>126.8</v>
      </c>
      <c r="T124" s="64">
        <v>131.4</v>
      </c>
      <c r="U124" s="64">
        <v>126</v>
      </c>
      <c r="V124" s="64">
        <v>122.7</v>
      </c>
      <c r="W124" s="64">
        <v>126</v>
      </c>
      <c r="X124" s="64">
        <v>123.7</v>
      </c>
      <c r="Y124" s="64">
        <v>112.8</v>
      </c>
      <c r="Z124" s="64">
        <v>121.5</v>
      </c>
      <c r="AA124" s="64">
        <v>128.5</v>
      </c>
      <c r="AB124" s="64">
        <v>119.2</v>
      </c>
      <c r="AC124" s="64">
        <v>120.7</v>
      </c>
      <c r="AD124" s="64">
        <v>128.6</v>
      </c>
    </row>
    <row r="125" spans="1:30">
      <c r="A125" s="64" t="s">
        <v>30</v>
      </c>
      <c r="B125" s="64">
        <v>2016</v>
      </c>
      <c r="C125" s="64" t="s">
        <v>39</v>
      </c>
      <c r="D125" s="64">
        <v>128.6</v>
      </c>
      <c r="E125" s="64">
        <v>138.6</v>
      </c>
      <c r="F125" s="64">
        <v>126.6</v>
      </c>
      <c r="G125" s="64">
        <v>133.6</v>
      </c>
      <c r="H125" s="64">
        <v>118.6</v>
      </c>
      <c r="I125" s="64">
        <v>137.4</v>
      </c>
      <c r="J125" s="64">
        <v>152.5</v>
      </c>
      <c r="K125" s="64">
        <v>169.2</v>
      </c>
      <c r="L125" s="64">
        <v>108.8</v>
      </c>
      <c r="M125" s="64">
        <v>133.1</v>
      </c>
      <c r="N125" s="64">
        <v>126.4</v>
      </c>
      <c r="O125" s="64">
        <v>139.19999999999999</v>
      </c>
      <c r="P125" s="64">
        <v>136</v>
      </c>
      <c r="Q125" s="64">
        <v>137.19999999999999</v>
      </c>
      <c r="R125" s="64">
        <v>136.30000000000001</v>
      </c>
      <c r="S125" s="64">
        <v>131.6</v>
      </c>
      <c r="T125" s="64">
        <v>135.6</v>
      </c>
      <c r="U125" s="64">
        <v>125.5</v>
      </c>
      <c r="V125" s="64">
        <v>128</v>
      </c>
      <c r="W125" s="64">
        <v>129.30000000000001</v>
      </c>
      <c r="X125" s="64">
        <v>126.2</v>
      </c>
      <c r="Y125" s="64">
        <v>116.3</v>
      </c>
      <c r="Z125" s="64">
        <v>124.1</v>
      </c>
      <c r="AA125" s="64">
        <v>130.19999999999999</v>
      </c>
      <c r="AB125" s="64">
        <v>119.9</v>
      </c>
      <c r="AC125" s="64">
        <v>123.3</v>
      </c>
      <c r="AD125" s="64">
        <v>131.9</v>
      </c>
    </row>
    <row r="126" spans="1:30">
      <c r="A126" s="64" t="s">
        <v>33</v>
      </c>
      <c r="B126" s="64">
        <v>2016</v>
      </c>
      <c r="C126" s="64" t="s">
        <v>39</v>
      </c>
      <c r="D126" s="64">
        <v>125.9</v>
      </c>
      <c r="E126" s="64">
        <v>143.9</v>
      </c>
      <c r="F126" s="64">
        <v>130.9</v>
      </c>
      <c r="G126" s="64">
        <v>131</v>
      </c>
      <c r="H126" s="64">
        <v>110.2</v>
      </c>
      <c r="I126" s="64">
        <v>135.5</v>
      </c>
      <c r="J126" s="64">
        <v>173.7</v>
      </c>
      <c r="K126" s="64">
        <v>184.4</v>
      </c>
      <c r="L126" s="64">
        <v>112</v>
      </c>
      <c r="M126" s="64">
        <v>142.80000000000001</v>
      </c>
      <c r="N126" s="64">
        <v>121.6</v>
      </c>
      <c r="O126" s="64">
        <v>136.9</v>
      </c>
      <c r="P126" s="64">
        <v>138.19999999999999</v>
      </c>
      <c r="Q126" s="64">
        <v>142.69999999999999</v>
      </c>
      <c r="R126" s="64">
        <v>127.6</v>
      </c>
      <c r="S126" s="64">
        <v>121.1</v>
      </c>
      <c r="T126" s="64">
        <v>126.6</v>
      </c>
      <c r="U126" s="64">
        <v>125.5</v>
      </c>
      <c r="V126" s="64">
        <v>115.5</v>
      </c>
      <c r="W126" s="64">
        <v>123.2</v>
      </c>
      <c r="X126" s="64">
        <v>120.6</v>
      </c>
      <c r="Y126" s="64">
        <v>112.3</v>
      </c>
      <c r="Z126" s="64">
        <v>119.9</v>
      </c>
      <c r="AA126" s="64">
        <v>129.30000000000001</v>
      </c>
      <c r="AB126" s="64">
        <v>118.8</v>
      </c>
      <c r="AC126" s="64">
        <v>119.6</v>
      </c>
      <c r="AD126" s="64">
        <v>128.1</v>
      </c>
    </row>
    <row r="127" spans="1:30">
      <c r="A127" s="64" t="s">
        <v>34</v>
      </c>
      <c r="B127" s="64">
        <v>2016</v>
      </c>
      <c r="C127" s="64" t="s">
        <v>39</v>
      </c>
      <c r="D127" s="64">
        <v>127.7</v>
      </c>
      <c r="E127" s="64">
        <v>140.5</v>
      </c>
      <c r="F127" s="64">
        <v>128.30000000000001</v>
      </c>
      <c r="G127" s="64">
        <v>132.6</v>
      </c>
      <c r="H127" s="64">
        <v>115.5</v>
      </c>
      <c r="I127" s="64">
        <v>136.5</v>
      </c>
      <c r="J127" s="64">
        <v>159.69999999999999</v>
      </c>
      <c r="K127" s="64">
        <v>174.3</v>
      </c>
      <c r="L127" s="64">
        <v>109.9</v>
      </c>
      <c r="M127" s="64">
        <v>136.30000000000001</v>
      </c>
      <c r="N127" s="64">
        <v>124.4</v>
      </c>
      <c r="O127" s="64">
        <v>138.1</v>
      </c>
      <c r="P127" s="64">
        <v>136.80000000000001</v>
      </c>
      <c r="Q127" s="64">
        <v>138.69999999999999</v>
      </c>
      <c r="R127" s="64">
        <v>132.9</v>
      </c>
      <c r="S127" s="64">
        <v>127.2</v>
      </c>
      <c r="T127" s="64">
        <v>132</v>
      </c>
      <c r="U127" s="64">
        <v>125.5</v>
      </c>
      <c r="V127" s="64">
        <v>123.3</v>
      </c>
      <c r="W127" s="64">
        <v>126.4</v>
      </c>
      <c r="X127" s="64">
        <v>124.1</v>
      </c>
      <c r="Y127" s="64">
        <v>114.2</v>
      </c>
      <c r="Z127" s="64">
        <v>121.7</v>
      </c>
      <c r="AA127" s="64">
        <v>129.69999999999999</v>
      </c>
      <c r="AB127" s="64">
        <v>119.4</v>
      </c>
      <c r="AC127" s="64">
        <v>121.5</v>
      </c>
      <c r="AD127" s="64">
        <v>130.1</v>
      </c>
    </row>
    <row r="128" spans="1:30">
      <c r="A128" s="64" t="s">
        <v>30</v>
      </c>
      <c r="B128" s="64">
        <v>2016</v>
      </c>
      <c r="C128" s="64" t="s">
        <v>40</v>
      </c>
      <c r="D128" s="64">
        <v>129.30000000000001</v>
      </c>
      <c r="E128" s="64">
        <v>139.5</v>
      </c>
      <c r="F128" s="64">
        <v>129.6</v>
      </c>
      <c r="G128" s="64">
        <v>134.5</v>
      </c>
      <c r="H128" s="64">
        <v>119.5</v>
      </c>
      <c r="I128" s="64">
        <v>138.5</v>
      </c>
      <c r="J128" s="64">
        <v>158.19999999999999</v>
      </c>
      <c r="K128" s="64">
        <v>171.8</v>
      </c>
      <c r="L128" s="64">
        <v>110.3</v>
      </c>
      <c r="M128" s="64">
        <v>134.30000000000001</v>
      </c>
      <c r="N128" s="64">
        <v>127.3</v>
      </c>
      <c r="O128" s="64">
        <v>139.9</v>
      </c>
      <c r="P128" s="64">
        <v>137.6</v>
      </c>
      <c r="Q128" s="64">
        <v>138</v>
      </c>
      <c r="R128" s="64">
        <v>137.19999999999999</v>
      </c>
      <c r="S128" s="64">
        <v>132.19999999999999</v>
      </c>
      <c r="T128" s="64">
        <v>136.5</v>
      </c>
      <c r="U128" s="64">
        <v>126.4</v>
      </c>
      <c r="V128" s="64">
        <v>128.19999999999999</v>
      </c>
      <c r="W128" s="64">
        <v>130</v>
      </c>
      <c r="X128" s="64">
        <v>126.7</v>
      </c>
      <c r="Y128" s="64">
        <v>116.4</v>
      </c>
      <c r="Z128" s="64">
        <v>125.2</v>
      </c>
      <c r="AA128" s="64">
        <v>130.80000000000001</v>
      </c>
      <c r="AB128" s="64">
        <v>120.9</v>
      </c>
      <c r="AC128" s="64">
        <v>123.8</v>
      </c>
      <c r="AD128" s="64">
        <v>133</v>
      </c>
    </row>
    <row r="129" spans="1:30">
      <c r="A129" s="64" t="s">
        <v>33</v>
      </c>
      <c r="B129" s="64">
        <v>2016</v>
      </c>
      <c r="C129" s="64" t="s">
        <v>40</v>
      </c>
      <c r="D129" s="64">
        <v>126.8</v>
      </c>
      <c r="E129" s="64">
        <v>144.19999999999999</v>
      </c>
      <c r="F129" s="64">
        <v>136.6</v>
      </c>
      <c r="G129" s="64">
        <v>131.80000000000001</v>
      </c>
      <c r="H129" s="64">
        <v>111</v>
      </c>
      <c r="I129" s="64">
        <v>137</v>
      </c>
      <c r="J129" s="64">
        <v>179.5</v>
      </c>
      <c r="K129" s="64">
        <v>188.4</v>
      </c>
      <c r="L129" s="64">
        <v>113.3</v>
      </c>
      <c r="M129" s="64">
        <v>143.9</v>
      </c>
      <c r="N129" s="64">
        <v>121.7</v>
      </c>
      <c r="O129" s="64">
        <v>137.5</v>
      </c>
      <c r="P129" s="64">
        <v>139.80000000000001</v>
      </c>
      <c r="Q129" s="64">
        <v>142.9</v>
      </c>
      <c r="R129" s="64">
        <v>127.9</v>
      </c>
      <c r="S129" s="64">
        <v>121.1</v>
      </c>
      <c r="T129" s="64">
        <v>126.9</v>
      </c>
      <c r="U129" s="64">
        <v>126.4</v>
      </c>
      <c r="V129" s="64">
        <v>115.5</v>
      </c>
      <c r="W129" s="64">
        <v>123.5</v>
      </c>
      <c r="X129" s="64">
        <v>120.9</v>
      </c>
      <c r="Y129" s="64">
        <v>111.7</v>
      </c>
      <c r="Z129" s="64">
        <v>120.3</v>
      </c>
      <c r="AA129" s="64">
        <v>130.80000000000001</v>
      </c>
      <c r="AB129" s="64">
        <v>120</v>
      </c>
      <c r="AC129" s="64">
        <v>119.9</v>
      </c>
      <c r="AD129" s="64">
        <v>129</v>
      </c>
    </row>
    <row r="130" spans="1:30">
      <c r="A130" s="64" t="s">
        <v>34</v>
      </c>
      <c r="B130" s="64">
        <v>2016</v>
      </c>
      <c r="C130" s="64" t="s">
        <v>40</v>
      </c>
      <c r="D130" s="64">
        <v>128.5</v>
      </c>
      <c r="E130" s="64">
        <v>141.19999999999999</v>
      </c>
      <c r="F130" s="64">
        <v>132.30000000000001</v>
      </c>
      <c r="G130" s="64">
        <v>133.5</v>
      </c>
      <c r="H130" s="64">
        <v>116.4</v>
      </c>
      <c r="I130" s="64">
        <v>137.80000000000001</v>
      </c>
      <c r="J130" s="64">
        <v>165.4</v>
      </c>
      <c r="K130" s="64">
        <v>177.4</v>
      </c>
      <c r="L130" s="64">
        <v>111.3</v>
      </c>
      <c r="M130" s="64">
        <v>137.5</v>
      </c>
      <c r="N130" s="64">
        <v>125</v>
      </c>
      <c r="O130" s="64">
        <v>138.80000000000001</v>
      </c>
      <c r="P130" s="64">
        <v>138.4</v>
      </c>
      <c r="Q130" s="64">
        <v>139.30000000000001</v>
      </c>
      <c r="R130" s="64">
        <v>133.5</v>
      </c>
      <c r="S130" s="64">
        <v>127.6</v>
      </c>
      <c r="T130" s="64">
        <v>132.69999999999999</v>
      </c>
      <c r="U130" s="64">
        <v>126.4</v>
      </c>
      <c r="V130" s="64">
        <v>123.4</v>
      </c>
      <c r="W130" s="64">
        <v>126.9</v>
      </c>
      <c r="X130" s="64">
        <v>124.5</v>
      </c>
      <c r="Y130" s="64">
        <v>113.9</v>
      </c>
      <c r="Z130" s="64">
        <v>122.4</v>
      </c>
      <c r="AA130" s="64">
        <v>130.80000000000001</v>
      </c>
      <c r="AB130" s="64">
        <v>120.5</v>
      </c>
      <c r="AC130" s="64">
        <v>121.9</v>
      </c>
      <c r="AD130" s="64">
        <v>131.1</v>
      </c>
    </row>
    <row r="131" spans="1:30">
      <c r="A131" s="64" t="s">
        <v>30</v>
      </c>
      <c r="B131" s="64">
        <v>2016</v>
      </c>
      <c r="C131" s="64" t="s">
        <v>41</v>
      </c>
      <c r="D131" s="64">
        <v>130.1</v>
      </c>
      <c r="E131" s="64">
        <v>138.80000000000001</v>
      </c>
      <c r="F131" s="64">
        <v>130.30000000000001</v>
      </c>
      <c r="G131" s="64">
        <v>135.30000000000001</v>
      </c>
      <c r="H131" s="64">
        <v>119.9</v>
      </c>
      <c r="I131" s="64">
        <v>140.19999999999999</v>
      </c>
      <c r="J131" s="64">
        <v>156.9</v>
      </c>
      <c r="K131" s="64">
        <v>172.2</v>
      </c>
      <c r="L131" s="64">
        <v>112.1</v>
      </c>
      <c r="M131" s="64">
        <v>134.9</v>
      </c>
      <c r="N131" s="64">
        <v>128.1</v>
      </c>
      <c r="O131" s="64">
        <v>140.69999999999999</v>
      </c>
      <c r="P131" s="64">
        <v>138</v>
      </c>
      <c r="Q131" s="64">
        <v>138.9</v>
      </c>
      <c r="R131" s="64">
        <v>137.80000000000001</v>
      </c>
      <c r="S131" s="64">
        <v>133</v>
      </c>
      <c r="T131" s="64">
        <v>137.1</v>
      </c>
      <c r="U131" s="64">
        <v>127.3</v>
      </c>
      <c r="V131" s="64">
        <v>129.1</v>
      </c>
      <c r="W131" s="64">
        <v>130.6</v>
      </c>
      <c r="X131" s="64">
        <v>127</v>
      </c>
      <c r="Y131" s="64">
        <v>116</v>
      </c>
      <c r="Z131" s="64">
        <v>125.5</v>
      </c>
      <c r="AA131" s="64">
        <v>131.9</v>
      </c>
      <c r="AB131" s="64">
        <v>122</v>
      </c>
      <c r="AC131" s="64">
        <v>124.2</v>
      </c>
      <c r="AD131" s="64">
        <v>133.5</v>
      </c>
    </row>
    <row r="132" spans="1:30">
      <c r="A132" s="64" t="s">
        <v>33</v>
      </c>
      <c r="B132" s="64">
        <v>2016</v>
      </c>
      <c r="C132" s="64" t="s">
        <v>41</v>
      </c>
      <c r="D132" s="64">
        <v>127.6</v>
      </c>
      <c r="E132" s="64">
        <v>140.30000000000001</v>
      </c>
      <c r="F132" s="64">
        <v>133.69999999999999</v>
      </c>
      <c r="G132" s="64">
        <v>132.19999999999999</v>
      </c>
      <c r="H132" s="64">
        <v>111.8</v>
      </c>
      <c r="I132" s="64">
        <v>135.80000000000001</v>
      </c>
      <c r="J132" s="64">
        <v>163.5</v>
      </c>
      <c r="K132" s="64">
        <v>182.3</v>
      </c>
      <c r="L132" s="64">
        <v>114.6</v>
      </c>
      <c r="M132" s="64">
        <v>144.6</v>
      </c>
      <c r="N132" s="64">
        <v>121.9</v>
      </c>
      <c r="O132" s="64">
        <v>138.1</v>
      </c>
      <c r="P132" s="64">
        <v>137.6</v>
      </c>
      <c r="Q132" s="64">
        <v>143.6</v>
      </c>
      <c r="R132" s="64">
        <v>128.30000000000001</v>
      </c>
      <c r="S132" s="64">
        <v>121.4</v>
      </c>
      <c r="T132" s="64">
        <v>127.3</v>
      </c>
      <c r="U132" s="64">
        <v>127.3</v>
      </c>
      <c r="V132" s="64">
        <v>114.7</v>
      </c>
      <c r="W132" s="64">
        <v>123.9</v>
      </c>
      <c r="X132" s="64">
        <v>121.2</v>
      </c>
      <c r="Y132" s="64">
        <v>110.4</v>
      </c>
      <c r="Z132" s="64">
        <v>120.6</v>
      </c>
      <c r="AA132" s="64">
        <v>131.5</v>
      </c>
      <c r="AB132" s="64">
        <v>120.9</v>
      </c>
      <c r="AC132" s="64">
        <v>119.9</v>
      </c>
      <c r="AD132" s="64">
        <v>128.4</v>
      </c>
    </row>
    <row r="133" spans="1:30">
      <c r="A133" s="64" t="s">
        <v>34</v>
      </c>
      <c r="B133" s="64">
        <v>2016</v>
      </c>
      <c r="C133" s="64" t="s">
        <v>41</v>
      </c>
      <c r="D133" s="64">
        <v>129.30000000000001</v>
      </c>
      <c r="E133" s="64">
        <v>139.30000000000001</v>
      </c>
      <c r="F133" s="64">
        <v>131.6</v>
      </c>
      <c r="G133" s="64">
        <v>134.1</v>
      </c>
      <c r="H133" s="64">
        <v>116.9</v>
      </c>
      <c r="I133" s="64">
        <v>138.1</v>
      </c>
      <c r="J133" s="64">
        <v>159.1</v>
      </c>
      <c r="K133" s="64">
        <v>175.6</v>
      </c>
      <c r="L133" s="64">
        <v>112.9</v>
      </c>
      <c r="M133" s="64">
        <v>138.1</v>
      </c>
      <c r="N133" s="64">
        <v>125.5</v>
      </c>
      <c r="O133" s="64">
        <v>139.5</v>
      </c>
      <c r="P133" s="64">
        <v>137.9</v>
      </c>
      <c r="Q133" s="64">
        <v>140.19999999999999</v>
      </c>
      <c r="R133" s="64">
        <v>134.1</v>
      </c>
      <c r="S133" s="64">
        <v>128.19999999999999</v>
      </c>
      <c r="T133" s="64">
        <v>133.19999999999999</v>
      </c>
      <c r="U133" s="64">
        <v>127.3</v>
      </c>
      <c r="V133" s="64">
        <v>123.6</v>
      </c>
      <c r="W133" s="64">
        <v>127.4</v>
      </c>
      <c r="X133" s="64">
        <v>124.8</v>
      </c>
      <c r="Y133" s="64">
        <v>113.1</v>
      </c>
      <c r="Z133" s="64">
        <v>122.7</v>
      </c>
      <c r="AA133" s="64">
        <v>131.69999999999999</v>
      </c>
      <c r="AB133" s="64">
        <v>121.5</v>
      </c>
      <c r="AC133" s="64">
        <v>122.1</v>
      </c>
      <c r="AD133" s="64">
        <v>131.1</v>
      </c>
    </row>
    <row r="134" spans="1:30">
      <c r="A134" s="64" t="s">
        <v>30</v>
      </c>
      <c r="B134" s="64">
        <v>2016</v>
      </c>
      <c r="C134" s="64" t="s">
        <v>42</v>
      </c>
      <c r="D134" s="64">
        <v>130.80000000000001</v>
      </c>
      <c r="E134" s="64">
        <v>138.19999999999999</v>
      </c>
      <c r="F134" s="64">
        <v>130.5</v>
      </c>
      <c r="G134" s="64">
        <v>135.5</v>
      </c>
      <c r="H134" s="64">
        <v>120.2</v>
      </c>
      <c r="I134" s="64">
        <v>139.19999999999999</v>
      </c>
      <c r="J134" s="64">
        <v>149.5</v>
      </c>
      <c r="K134" s="64">
        <v>170.4</v>
      </c>
      <c r="L134" s="64">
        <v>113.1</v>
      </c>
      <c r="M134" s="64">
        <v>135.80000000000001</v>
      </c>
      <c r="N134" s="64">
        <v>128.80000000000001</v>
      </c>
      <c r="O134" s="64">
        <v>141.5</v>
      </c>
      <c r="P134" s="64">
        <v>137.19999999999999</v>
      </c>
      <c r="Q134" s="64">
        <v>139.9</v>
      </c>
      <c r="R134" s="64">
        <v>138.5</v>
      </c>
      <c r="S134" s="64">
        <v>133.5</v>
      </c>
      <c r="T134" s="64">
        <v>137.80000000000001</v>
      </c>
      <c r="U134" s="64">
        <v>127.9</v>
      </c>
      <c r="V134" s="64">
        <v>129.69999999999999</v>
      </c>
      <c r="W134" s="64">
        <v>131.1</v>
      </c>
      <c r="X134" s="64">
        <v>127.8</v>
      </c>
      <c r="Y134" s="64">
        <v>117</v>
      </c>
      <c r="Z134" s="64">
        <v>125.7</v>
      </c>
      <c r="AA134" s="64">
        <v>132.19999999999999</v>
      </c>
      <c r="AB134" s="64">
        <v>122.8</v>
      </c>
      <c r="AC134" s="64">
        <v>124.9</v>
      </c>
      <c r="AD134" s="64">
        <v>133.4</v>
      </c>
    </row>
    <row r="135" spans="1:30">
      <c r="A135" s="64" t="s">
        <v>33</v>
      </c>
      <c r="B135" s="64">
        <v>2016</v>
      </c>
      <c r="C135" s="64" t="s">
        <v>42</v>
      </c>
      <c r="D135" s="64">
        <v>128.1</v>
      </c>
      <c r="E135" s="64">
        <v>137.69999999999999</v>
      </c>
      <c r="F135" s="64">
        <v>130.6</v>
      </c>
      <c r="G135" s="64">
        <v>132.6</v>
      </c>
      <c r="H135" s="64">
        <v>111.9</v>
      </c>
      <c r="I135" s="64">
        <v>132.5</v>
      </c>
      <c r="J135" s="64">
        <v>152.9</v>
      </c>
      <c r="K135" s="64">
        <v>173.6</v>
      </c>
      <c r="L135" s="64">
        <v>115.1</v>
      </c>
      <c r="M135" s="64">
        <v>144.80000000000001</v>
      </c>
      <c r="N135" s="64">
        <v>122.1</v>
      </c>
      <c r="O135" s="64">
        <v>138.80000000000001</v>
      </c>
      <c r="P135" s="64">
        <v>135.69999999999999</v>
      </c>
      <c r="Q135" s="64">
        <v>143.9</v>
      </c>
      <c r="R135" s="64">
        <v>128.69999999999999</v>
      </c>
      <c r="S135" s="64">
        <v>121.6</v>
      </c>
      <c r="T135" s="64">
        <v>127.7</v>
      </c>
      <c r="U135" s="64">
        <v>127.9</v>
      </c>
      <c r="V135" s="64">
        <v>114.8</v>
      </c>
      <c r="W135" s="64">
        <v>124.3</v>
      </c>
      <c r="X135" s="64">
        <v>121.4</v>
      </c>
      <c r="Y135" s="64">
        <v>111.8</v>
      </c>
      <c r="Z135" s="64">
        <v>120.8</v>
      </c>
      <c r="AA135" s="64">
        <v>131.6</v>
      </c>
      <c r="AB135" s="64">
        <v>121.2</v>
      </c>
      <c r="AC135" s="64">
        <v>120.5</v>
      </c>
      <c r="AD135" s="64">
        <v>128</v>
      </c>
    </row>
    <row r="136" spans="1:30">
      <c r="A136" s="64" t="s">
        <v>34</v>
      </c>
      <c r="B136" s="64">
        <v>2016</v>
      </c>
      <c r="C136" s="64" t="s">
        <v>42</v>
      </c>
      <c r="D136" s="64">
        <v>129.9</v>
      </c>
      <c r="E136" s="64">
        <v>138</v>
      </c>
      <c r="F136" s="64">
        <v>130.5</v>
      </c>
      <c r="G136" s="64">
        <v>134.4</v>
      </c>
      <c r="H136" s="64">
        <v>117.2</v>
      </c>
      <c r="I136" s="64">
        <v>136.1</v>
      </c>
      <c r="J136" s="64">
        <v>150.69999999999999</v>
      </c>
      <c r="K136" s="64">
        <v>171.5</v>
      </c>
      <c r="L136" s="64">
        <v>113.8</v>
      </c>
      <c r="M136" s="64">
        <v>138.80000000000001</v>
      </c>
      <c r="N136" s="64">
        <v>126</v>
      </c>
      <c r="O136" s="64">
        <v>140.19999999999999</v>
      </c>
      <c r="P136" s="64">
        <v>136.6</v>
      </c>
      <c r="Q136" s="64">
        <v>141</v>
      </c>
      <c r="R136" s="64">
        <v>134.6</v>
      </c>
      <c r="S136" s="64">
        <v>128.6</v>
      </c>
      <c r="T136" s="64">
        <v>133.80000000000001</v>
      </c>
      <c r="U136" s="64">
        <v>127.9</v>
      </c>
      <c r="V136" s="64">
        <v>124.1</v>
      </c>
      <c r="W136" s="64">
        <v>127.9</v>
      </c>
      <c r="X136" s="64">
        <v>125.4</v>
      </c>
      <c r="Y136" s="64">
        <v>114.3</v>
      </c>
      <c r="Z136" s="64">
        <v>122.9</v>
      </c>
      <c r="AA136" s="64">
        <v>131.80000000000001</v>
      </c>
      <c r="AB136" s="64">
        <v>122.1</v>
      </c>
      <c r="AC136" s="64">
        <v>122.8</v>
      </c>
      <c r="AD136" s="64">
        <v>130.9</v>
      </c>
    </row>
    <row r="137" spans="1:30">
      <c r="A137" s="64" t="s">
        <v>30</v>
      </c>
      <c r="B137" s="64">
        <v>2016</v>
      </c>
      <c r="C137" s="64" t="s">
        <v>43</v>
      </c>
      <c r="D137" s="64">
        <v>131.30000000000001</v>
      </c>
      <c r="E137" s="64">
        <v>137.6</v>
      </c>
      <c r="F137" s="64">
        <v>130.1</v>
      </c>
      <c r="G137" s="64">
        <v>136</v>
      </c>
      <c r="H137" s="64">
        <v>120.8</v>
      </c>
      <c r="I137" s="64">
        <v>138.4</v>
      </c>
      <c r="J137" s="64">
        <v>149.19999999999999</v>
      </c>
      <c r="K137" s="64">
        <v>170.2</v>
      </c>
      <c r="L137" s="64">
        <v>113.4</v>
      </c>
      <c r="M137" s="64">
        <v>136.30000000000001</v>
      </c>
      <c r="N137" s="64">
        <v>128.69999999999999</v>
      </c>
      <c r="O137" s="64">
        <v>142.4</v>
      </c>
      <c r="P137" s="64">
        <v>137.4</v>
      </c>
      <c r="Q137" s="64">
        <v>140.9</v>
      </c>
      <c r="R137" s="64">
        <v>139.6</v>
      </c>
      <c r="S137" s="64">
        <v>134.30000000000001</v>
      </c>
      <c r="T137" s="64">
        <v>138.80000000000001</v>
      </c>
      <c r="U137" s="64">
        <v>128.69999999999999</v>
      </c>
      <c r="V137" s="64">
        <v>129.80000000000001</v>
      </c>
      <c r="W137" s="64">
        <v>131.80000000000001</v>
      </c>
      <c r="X137" s="64">
        <v>128.69999999999999</v>
      </c>
      <c r="Y137" s="64">
        <v>117.8</v>
      </c>
      <c r="Z137" s="64">
        <v>126.5</v>
      </c>
      <c r="AA137" s="64">
        <v>133</v>
      </c>
      <c r="AB137" s="64">
        <v>123</v>
      </c>
      <c r="AC137" s="64">
        <v>125.7</v>
      </c>
      <c r="AD137" s="64">
        <v>133.80000000000001</v>
      </c>
    </row>
    <row r="138" spans="1:30">
      <c r="A138" s="64" t="s">
        <v>33</v>
      </c>
      <c r="B138" s="64">
        <v>2016</v>
      </c>
      <c r="C138" s="64" t="s">
        <v>43</v>
      </c>
      <c r="D138" s="64">
        <v>128.69999999999999</v>
      </c>
      <c r="E138" s="64">
        <v>138.4</v>
      </c>
      <c r="F138" s="64">
        <v>130.30000000000001</v>
      </c>
      <c r="G138" s="64">
        <v>132.69999999999999</v>
      </c>
      <c r="H138" s="64">
        <v>112.5</v>
      </c>
      <c r="I138" s="64">
        <v>130.4</v>
      </c>
      <c r="J138" s="64">
        <v>155.1</v>
      </c>
      <c r="K138" s="64">
        <v>175.7</v>
      </c>
      <c r="L138" s="64">
        <v>115.4</v>
      </c>
      <c r="M138" s="64">
        <v>145.30000000000001</v>
      </c>
      <c r="N138" s="64">
        <v>122.5</v>
      </c>
      <c r="O138" s="64">
        <v>139.6</v>
      </c>
      <c r="P138" s="64">
        <v>136.30000000000001</v>
      </c>
      <c r="Q138" s="64">
        <v>144.30000000000001</v>
      </c>
      <c r="R138" s="64">
        <v>129.1</v>
      </c>
      <c r="S138" s="64">
        <v>121.9</v>
      </c>
      <c r="T138" s="64">
        <v>128</v>
      </c>
      <c r="U138" s="64">
        <v>128.69999999999999</v>
      </c>
      <c r="V138" s="64">
        <v>115.2</v>
      </c>
      <c r="W138" s="64">
        <v>124.5</v>
      </c>
      <c r="X138" s="64">
        <v>121.8</v>
      </c>
      <c r="Y138" s="64">
        <v>112.8</v>
      </c>
      <c r="Z138" s="64">
        <v>121.2</v>
      </c>
      <c r="AA138" s="64">
        <v>131.9</v>
      </c>
      <c r="AB138" s="64">
        <v>120.8</v>
      </c>
      <c r="AC138" s="64">
        <v>120.9</v>
      </c>
      <c r="AD138" s="64">
        <v>128.6</v>
      </c>
    </row>
    <row r="139" spans="1:30">
      <c r="A139" s="64" t="s">
        <v>34</v>
      </c>
      <c r="B139" s="64">
        <v>2016</v>
      </c>
      <c r="C139" s="64" t="s">
        <v>43</v>
      </c>
      <c r="D139" s="64">
        <v>130.5</v>
      </c>
      <c r="E139" s="64">
        <v>137.9</v>
      </c>
      <c r="F139" s="64">
        <v>130.19999999999999</v>
      </c>
      <c r="G139" s="64">
        <v>134.80000000000001</v>
      </c>
      <c r="H139" s="64">
        <v>117.8</v>
      </c>
      <c r="I139" s="64">
        <v>134.69999999999999</v>
      </c>
      <c r="J139" s="64">
        <v>151.19999999999999</v>
      </c>
      <c r="K139" s="64">
        <v>172.1</v>
      </c>
      <c r="L139" s="64">
        <v>114.1</v>
      </c>
      <c r="M139" s="64">
        <v>139.30000000000001</v>
      </c>
      <c r="N139" s="64">
        <v>126.1</v>
      </c>
      <c r="O139" s="64">
        <v>141.1</v>
      </c>
      <c r="P139" s="64">
        <v>137</v>
      </c>
      <c r="Q139" s="64">
        <v>141.80000000000001</v>
      </c>
      <c r="R139" s="64">
        <v>135.5</v>
      </c>
      <c r="S139" s="64">
        <v>129.1</v>
      </c>
      <c r="T139" s="64">
        <v>134.5</v>
      </c>
      <c r="U139" s="64">
        <v>128.69999999999999</v>
      </c>
      <c r="V139" s="64">
        <v>124.3</v>
      </c>
      <c r="W139" s="64">
        <v>128.4</v>
      </c>
      <c r="X139" s="64">
        <v>126.1</v>
      </c>
      <c r="Y139" s="64">
        <v>115.2</v>
      </c>
      <c r="Z139" s="64">
        <v>123.5</v>
      </c>
      <c r="AA139" s="64">
        <v>132.4</v>
      </c>
      <c r="AB139" s="64">
        <v>122.1</v>
      </c>
      <c r="AC139" s="64">
        <v>123.4</v>
      </c>
      <c r="AD139" s="64">
        <v>131.4</v>
      </c>
    </row>
    <row r="140" spans="1:30">
      <c r="A140" s="64" t="s">
        <v>30</v>
      </c>
      <c r="B140" s="64">
        <v>2016</v>
      </c>
      <c r="C140" s="64" t="s">
        <v>45</v>
      </c>
      <c r="D140" s="64">
        <v>132</v>
      </c>
      <c r="E140" s="64">
        <v>137.4</v>
      </c>
      <c r="F140" s="64">
        <v>130.6</v>
      </c>
      <c r="G140" s="64">
        <v>136.19999999999999</v>
      </c>
      <c r="H140" s="64">
        <v>121.1</v>
      </c>
      <c r="I140" s="64">
        <v>136.9</v>
      </c>
      <c r="J140" s="64">
        <v>141.80000000000001</v>
      </c>
      <c r="K140" s="64">
        <v>170</v>
      </c>
      <c r="L140" s="64">
        <v>113.4</v>
      </c>
      <c r="M140" s="64">
        <v>136.80000000000001</v>
      </c>
      <c r="N140" s="64">
        <v>128.69999999999999</v>
      </c>
      <c r="O140" s="64">
        <v>143.1</v>
      </c>
      <c r="P140" s="64">
        <v>136.6</v>
      </c>
      <c r="Q140" s="64">
        <v>141.19999999999999</v>
      </c>
      <c r="R140" s="64">
        <v>139.9</v>
      </c>
      <c r="S140" s="64">
        <v>134.5</v>
      </c>
      <c r="T140" s="64">
        <v>139.19999999999999</v>
      </c>
      <c r="U140" s="64">
        <v>129.1</v>
      </c>
      <c r="V140" s="64">
        <v>130.30000000000001</v>
      </c>
      <c r="W140" s="64">
        <v>132.1</v>
      </c>
      <c r="X140" s="64">
        <v>129.1</v>
      </c>
      <c r="Y140" s="64">
        <v>118.2</v>
      </c>
      <c r="Z140" s="64">
        <v>126.9</v>
      </c>
      <c r="AA140" s="64">
        <v>133.69999999999999</v>
      </c>
      <c r="AB140" s="64">
        <v>123.5</v>
      </c>
      <c r="AC140" s="64">
        <v>126.1</v>
      </c>
      <c r="AD140" s="64">
        <v>133.6</v>
      </c>
    </row>
    <row r="141" spans="1:30">
      <c r="A141" s="64" t="s">
        <v>33</v>
      </c>
      <c r="B141" s="64">
        <v>2016</v>
      </c>
      <c r="C141" s="64" t="s">
        <v>45</v>
      </c>
      <c r="D141" s="64">
        <v>130.19999999999999</v>
      </c>
      <c r="E141" s="64">
        <v>138.5</v>
      </c>
      <c r="F141" s="64">
        <v>134.1</v>
      </c>
      <c r="G141" s="64">
        <v>132.9</v>
      </c>
      <c r="H141" s="64">
        <v>112.6</v>
      </c>
      <c r="I141" s="64">
        <v>130.80000000000001</v>
      </c>
      <c r="J141" s="64">
        <v>142</v>
      </c>
      <c r="K141" s="64">
        <v>174.9</v>
      </c>
      <c r="L141" s="64">
        <v>115.6</v>
      </c>
      <c r="M141" s="64">
        <v>145.4</v>
      </c>
      <c r="N141" s="64">
        <v>122.7</v>
      </c>
      <c r="O141" s="64">
        <v>140.30000000000001</v>
      </c>
      <c r="P141" s="64">
        <v>135.19999999999999</v>
      </c>
      <c r="Q141" s="64">
        <v>144.30000000000001</v>
      </c>
      <c r="R141" s="64">
        <v>129.6</v>
      </c>
      <c r="S141" s="64">
        <v>122.1</v>
      </c>
      <c r="T141" s="64">
        <v>128.5</v>
      </c>
      <c r="U141" s="64">
        <v>129.1</v>
      </c>
      <c r="V141" s="64">
        <v>116.2</v>
      </c>
      <c r="W141" s="64">
        <v>124.7</v>
      </c>
      <c r="X141" s="64">
        <v>122.1</v>
      </c>
      <c r="Y141" s="64">
        <v>113.4</v>
      </c>
      <c r="Z141" s="64">
        <v>121.7</v>
      </c>
      <c r="AA141" s="64">
        <v>132.1</v>
      </c>
      <c r="AB141" s="64">
        <v>121.3</v>
      </c>
      <c r="AC141" s="64">
        <v>121.3</v>
      </c>
      <c r="AD141" s="64">
        <v>128.5</v>
      </c>
    </row>
    <row r="142" spans="1:30">
      <c r="A142" s="64" t="s">
        <v>34</v>
      </c>
      <c r="B142" s="64">
        <v>2016</v>
      </c>
      <c r="C142" s="64" t="s">
        <v>45</v>
      </c>
      <c r="D142" s="64">
        <v>131.4</v>
      </c>
      <c r="E142" s="64">
        <v>137.80000000000001</v>
      </c>
      <c r="F142" s="64">
        <v>132</v>
      </c>
      <c r="G142" s="64">
        <v>135</v>
      </c>
      <c r="H142" s="64">
        <v>118</v>
      </c>
      <c r="I142" s="64">
        <v>134.1</v>
      </c>
      <c r="J142" s="64">
        <v>141.9</v>
      </c>
      <c r="K142" s="64">
        <v>171.7</v>
      </c>
      <c r="L142" s="64">
        <v>114.1</v>
      </c>
      <c r="M142" s="64">
        <v>139.69999999999999</v>
      </c>
      <c r="N142" s="64">
        <v>126.2</v>
      </c>
      <c r="O142" s="64">
        <v>141.80000000000001</v>
      </c>
      <c r="P142" s="64">
        <v>136.1</v>
      </c>
      <c r="Q142" s="64">
        <v>142</v>
      </c>
      <c r="R142" s="64">
        <v>135.80000000000001</v>
      </c>
      <c r="S142" s="64">
        <v>129.30000000000001</v>
      </c>
      <c r="T142" s="64">
        <v>135</v>
      </c>
      <c r="U142" s="64">
        <v>129.1</v>
      </c>
      <c r="V142" s="64">
        <v>125</v>
      </c>
      <c r="W142" s="64">
        <v>128.6</v>
      </c>
      <c r="X142" s="64">
        <v>126.4</v>
      </c>
      <c r="Y142" s="64">
        <v>115.7</v>
      </c>
      <c r="Z142" s="64">
        <v>124</v>
      </c>
      <c r="AA142" s="64">
        <v>132.80000000000001</v>
      </c>
      <c r="AB142" s="64">
        <v>122.6</v>
      </c>
      <c r="AC142" s="64">
        <v>123.8</v>
      </c>
      <c r="AD142" s="64">
        <v>131.19999999999999</v>
      </c>
    </row>
    <row r="143" spans="1:30">
      <c r="A143" s="64" t="s">
        <v>30</v>
      </c>
      <c r="B143" s="64">
        <v>2016</v>
      </c>
      <c r="C143" s="64" t="s">
        <v>46</v>
      </c>
      <c r="D143" s="64">
        <v>132.6</v>
      </c>
      <c r="E143" s="64">
        <v>137.30000000000001</v>
      </c>
      <c r="F143" s="64">
        <v>131.6</v>
      </c>
      <c r="G143" s="64">
        <v>136.30000000000001</v>
      </c>
      <c r="H143" s="64">
        <v>121.6</v>
      </c>
      <c r="I143" s="64">
        <v>135.6</v>
      </c>
      <c r="J143" s="64">
        <v>127.5</v>
      </c>
      <c r="K143" s="64">
        <v>167.9</v>
      </c>
      <c r="L143" s="64">
        <v>113.8</v>
      </c>
      <c r="M143" s="64">
        <v>137.5</v>
      </c>
      <c r="N143" s="64">
        <v>129.1</v>
      </c>
      <c r="O143" s="64">
        <v>143.6</v>
      </c>
      <c r="P143" s="64">
        <v>134.69999999999999</v>
      </c>
      <c r="Q143" s="64">
        <v>142.4</v>
      </c>
      <c r="R143" s="64">
        <v>140.4</v>
      </c>
      <c r="S143" s="64">
        <v>135.19999999999999</v>
      </c>
      <c r="T143" s="64">
        <v>139.69999999999999</v>
      </c>
      <c r="U143" s="64">
        <v>128.5</v>
      </c>
      <c r="V143" s="64">
        <v>132</v>
      </c>
      <c r="W143" s="64">
        <v>132.9</v>
      </c>
      <c r="X143" s="64">
        <v>129.69999999999999</v>
      </c>
      <c r="Y143" s="64">
        <v>118.6</v>
      </c>
      <c r="Z143" s="64">
        <v>127.3</v>
      </c>
      <c r="AA143" s="64">
        <v>134.19999999999999</v>
      </c>
      <c r="AB143" s="64">
        <v>121.9</v>
      </c>
      <c r="AC143" s="64">
        <v>126.3</v>
      </c>
      <c r="AD143" s="64">
        <v>132.80000000000001</v>
      </c>
    </row>
    <row r="144" spans="1:30">
      <c r="A144" s="64" t="s">
        <v>33</v>
      </c>
      <c r="B144" s="64">
        <v>2016</v>
      </c>
      <c r="C144" s="64" t="s">
        <v>46</v>
      </c>
      <c r="D144" s="64">
        <v>131.6</v>
      </c>
      <c r="E144" s="64">
        <v>138.19999999999999</v>
      </c>
      <c r="F144" s="64">
        <v>134.9</v>
      </c>
      <c r="G144" s="64">
        <v>133.1</v>
      </c>
      <c r="H144" s="64">
        <v>113.5</v>
      </c>
      <c r="I144" s="64">
        <v>129.30000000000001</v>
      </c>
      <c r="J144" s="64">
        <v>121.1</v>
      </c>
      <c r="K144" s="64">
        <v>170.3</v>
      </c>
      <c r="L144" s="64">
        <v>115.5</v>
      </c>
      <c r="M144" s="64">
        <v>145.5</v>
      </c>
      <c r="N144" s="64">
        <v>123.1</v>
      </c>
      <c r="O144" s="64">
        <v>140.9</v>
      </c>
      <c r="P144" s="64">
        <v>132.80000000000001</v>
      </c>
      <c r="Q144" s="64">
        <v>145</v>
      </c>
      <c r="R144" s="64">
        <v>130</v>
      </c>
      <c r="S144" s="64">
        <v>122.2</v>
      </c>
      <c r="T144" s="64">
        <v>128.80000000000001</v>
      </c>
      <c r="U144" s="64">
        <v>128.5</v>
      </c>
      <c r="V144" s="64">
        <v>117.8</v>
      </c>
      <c r="W144" s="64">
        <v>125</v>
      </c>
      <c r="X144" s="64">
        <v>122.3</v>
      </c>
      <c r="Y144" s="64">
        <v>113.7</v>
      </c>
      <c r="Z144" s="64">
        <v>121.8</v>
      </c>
      <c r="AA144" s="64">
        <v>132.30000000000001</v>
      </c>
      <c r="AB144" s="64">
        <v>119.9</v>
      </c>
      <c r="AC144" s="64">
        <v>121.4</v>
      </c>
      <c r="AD144" s="64">
        <v>127.6</v>
      </c>
    </row>
    <row r="145" spans="1:30">
      <c r="A145" s="64" t="s">
        <v>34</v>
      </c>
      <c r="B145" s="64">
        <v>2016</v>
      </c>
      <c r="C145" s="64" t="s">
        <v>46</v>
      </c>
      <c r="D145" s="64">
        <v>132.30000000000001</v>
      </c>
      <c r="E145" s="64">
        <v>137.6</v>
      </c>
      <c r="F145" s="64">
        <v>132.9</v>
      </c>
      <c r="G145" s="64">
        <v>135.1</v>
      </c>
      <c r="H145" s="64">
        <v>118.6</v>
      </c>
      <c r="I145" s="64">
        <v>132.69999999999999</v>
      </c>
      <c r="J145" s="64">
        <v>125.3</v>
      </c>
      <c r="K145" s="64">
        <v>168.7</v>
      </c>
      <c r="L145" s="64">
        <v>114.4</v>
      </c>
      <c r="M145" s="64">
        <v>140.19999999999999</v>
      </c>
      <c r="N145" s="64">
        <v>126.6</v>
      </c>
      <c r="O145" s="64">
        <v>142.30000000000001</v>
      </c>
      <c r="P145" s="64">
        <v>134</v>
      </c>
      <c r="Q145" s="64">
        <v>143.1</v>
      </c>
      <c r="R145" s="64">
        <v>136.30000000000001</v>
      </c>
      <c r="S145" s="64">
        <v>129.80000000000001</v>
      </c>
      <c r="T145" s="64">
        <v>135.4</v>
      </c>
      <c r="U145" s="64">
        <v>128.5</v>
      </c>
      <c r="V145" s="64">
        <v>126.6</v>
      </c>
      <c r="W145" s="64">
        <v>129.19999999999999</v>
      </c>
      <c r="X145" s="64">
        <v>126.9</v>
      </c>
      <c r="Y145" s="64">
        <v>116</v>
      </c>
      <c r="Z145" s="64">
        <v>124.2</v>
      </c>
      <c r="AA145" s="64">
        <v>133.1</v>
      </c>
      <c r="AB145" s="64">
        <v>121.1</v>
      </c>
      <c r="AC145" s="64">
        <v>123.9</v>
      </c>
      <c r="AD145" s="64">
        <v>130.4</v>
      </c>
    </row>
    <row r="146" spans="1:30">
      <c r="A146" s="64" t="s">
        <v>30</v>
      </c>
      <c r="B146" s="64">
        <v>2017</v>
      </c>
      <c r="C146" s="64" t="s">
        <v>31</v>
      </c>
      <c r="D146" s="64">
        <v>133.1</v>
      </c>
      <c r="E146" s="64">
        <v>137.80000000000001</v>
      </c>
      <c r="F146" s="64">
        <v>131.9</v>
      </c>
      <c r="G146" s="64">
        <v>136.69999999999999</v>
      </c>
      <c r="H146" s="64">
        <v>122</v>
      </c>
      <c r="I146" s="64">
        <v>136</v>
      </c>
      <c r="J146" s="64">
        <v>119.8</v>
      </c>
      <c r="K146" s="64">
        <v>161.69999999999999</v>
      </c>
      <c r="L146" s="64">
        <v>114.8</v>
      </c>
      <c r="M146" s="64">
        <v>136.9</v>
      </c>
      <c r="N146" s="64">
        <v>129</v>
      </c>
      <c r="O146" s="64">
        <v>143.9</v>
      </c>
      <c r="P146" s="64">
        <v>133.69999999999999</v>
      </c>
      <c r="Q146" s="64">
        <v>143.1</v>
      </c>
      <c r="R146" s="64">
        <v>140.69999999999999</v>
      </c>
      <c r="S146" s="64">
        <v>135.80000000000001</v>
      </c>
      <c r="T146" s="64">
        <v>140</v>
      </c>
      <c r="U146" s="64">
        <v>129.6</v>
      </c>
      <c r="V146" s="64">
        <v>132.1</v>
      </c>
      <c r="W146" s="64">
        <v>133.19999999999999</v>
      </c>
      <c r="X146" s="64">
        <v>129.9</v>
      </c>
      <c r="Y146" s="64">
        <v>119.1</v>
      </c>
      <c r="Z146" s="64">
        <v>127</v>
      </c>
      <c r="AA146" s="64">
        <v>134.6</v>
      </c>
      <c r="AB146" s="64">
        <v>122.3</v>
      </c>
      <c r="AC146" s="64">
        <v>126.6</v>
      </c>
      <c r="AD146" s="64">
        <v>132.4</v>
      </c>
    </row>
    <row r="147" spans="1:30">
      <c r="A147" s="64" t="s">
        <v>33</v>
      </c>
      <c r="B147" s="64">
        <v>2017</v>
      </c>
      <c r="C147" s="64" t="s">
        <v>31</v>
      </c>
      <c r="D147" s="64">
        <v>132.19999999999999</v>
      </c>
      <c r="E147" s="64">
        <v>138.9</v>
      </c>
      <c r="F147" s="64">
        <v>132.6</v>
      </c>
      <c r="G147" s="64">
        <v>133.1</v>
      </c>
      <c r="H147" s="64">
        <v>114</v>
      </c>
      <c r="I147" s="64">
        <v>129.6</v>
      </c>
      <c r="J147" s="64">
        <v>118.7</v>
      </c>
      <c r="K147" s="64">
        <v>155.1</v>
      </c>
      <c r="L147" s="64">
        <v>117.3</v>
      </c>
      <c r="M147" s="64">
        <v>144.9</v>
      </c>
      <c r="N147" s="64">
        <v>123.2</v>
      </c>
      <c r="O147" s="64">
        <v>141.6</v>
      </c>
      <c r="P147" s="64">
        <v>132</v>
      </c>
      <c r="Q147" s="64">
        <v>145.6</v>
      </c>
      <c r="R147" s="64">
        <v>130.19999999999999</v>
      </c>
      <c r="S147" s="64">
        <v>122.3</v>
      </c>
      <c r="T147" s="64">
        <v>129</v>
      </c>
      <c r="U147" s="64">
        <v>129.6</v>
      </c>
      <c r="V147" s="64">
        <v>118</v>
      </c>
      <c r="W147" s="64">
        <v>125.1</v>
      </c>
      <c r="X147" s="64">
        <v>122.6</v>
      </c>
      <c r="Y147" s="64">
        <v>115.2</v>
      </c>
      <c r="Z147" s="64">
        <v>122</v>
      </c>
      <c r="AA147" s="64">
        <v>132.4</v>
      </c>
      <c r="AB147" s="64">
        <v>120.9</v>
      </c>
      <c r="AC147" s="64">
        <v>122.1</v>
      </c>
      <c r="AD147" s="64">
        <v>127.8</v>
      </c>
    </row>
    <row r="148" spans="1:30">
      <c r="A148" s="64" t="s">
        <v>34</v>
      </c>
      <c r="B148" s="64">
        <v>2017</v>
      </c>
      <c r="C148" s="64" t="s">
        <v>31</v>
      </c>
      <c r="D148" s="64">
        <v>132.80000000000001</v>
      </c>
      <c r="E148" s="64">
        <v>138.19999999999999</v>
      </c>
      <c r="F148" s="64">
        <v>132.19999999999999</v>
      </c>
      <c r="G148" s="64">
        <v>135.4</v>
      </c>
      <c r="H148" s="64">
        <v>119.1</v>
      </c>
      <c r="I148" s="64">
        <v>133</v>
      </c>
      <c r="J148" s="64">
        <v>119.4</v>
      </c>
      <c r="K148" s="64">
        <v>159.5</v>
      </c>
      <c r="L148" s="64">
        <v>115.6</v>
      </c>
      <c r="M148" s="64">
        <v>139.6</v>
      </c>
      <c r="N148" s="64">
        <v>126.6</v>
      </c>
      <c r="O148" s="64">
        <v>142.80000000000001</v>
      </c>
      <c r="P148" s="64">
        <v>133.1</v>
      </c>
      <c r="Q148" s="64">
        <v>143.80000000000001</v>
      </c>
      <c r="R148" s="64">
        <v>136.6</v>
      </c>
      <c r="S148" s="64">
        <v>130.19999999999999</v>
      </c>
      <c r="T148" s="64">
        <v>135.6</v>
      </c>
      <c r="U148" s="64">
        <v>129.6</v>
      </c>
      <c r="V148" s="64">
        <v>126.8</v>
      </c>
      <c r="W148" s="64">
        <v>129.4</v>
      </c>
      <c r="X148" s="64">
        <v>127.1</v>
      </c>
      <c r="Y148" s="64">
        <v>117</v>
      </c>
      <c r="Z148" s="64">
        <v>124.2</v>
      </c>
      <c r="AA148" s="64">
        <v>133.30000000000001</v>
      </c>
      <c r="AB148" s="64">
        <v>121.7</v>
      </c>
      <c r="AC148" s="64">
        <v>124.4</v>
      </c>
      <c r="AD148" s="64">
        <v>130.30000000000001</v>
      </c>
    </row>
    <row r="149" spans="1:30">
      <c r="A149" s="64" t="s">
        <v>30</v>
      </c>
      <c r="B149" s="64">
        <v>2017</v>
      </c>
      <c r="C149" s="64" t="s">
        <v>35</v>
      </c>
      <c r="D149" s="64">
        <v>133.30000000000001</v>
      </c>
      <c r="E149" s="64">
        <v>138.30000000000001</v>
      </c>
      <c r="F149" s="64">
        <v>129.30000000000001</v>
      </c>
      <c r="G149" s="64">
        <v>137.19999999999999</v>
      </c>
      <c r="H149" s="64">
        <v>122.1</v>
      </c>
      <c r="I149" s="64">
        <v>138.69999999999999</v>
      </c>
      <c r="J149" s="64">
        <v>119.1</v>
      </c>
      <c r="K149" s="64">
        <v>156.9</v>
      </c>
      <c r="L149" s="64">
        <v>116.2</v>
      </c>
      <c r="M149" s="64">
        <v>136</v>
      </c>
      <c r="N149" s="64">
        <v>129.4</v>
      </c>
      <c r="O149" s="64">
        <v>144.4</v>
      </c>
      <c r="P149" s="64">
        <v>133.6</v>
      </c>
      <c r="Q149" s="64">
        <v>143.69999999999999</v>
      </c>
      <c r="R149" s="64">
        <v>140.9</v>
      </c>
      <c r="S149" s="64">
        <v>135.80000000000001</v>
      </c>
      <c r="T149" s="64">
        <v>140.19999999999999</v>
      </c>
      <c r="U149" s="64">
        <v>130.5</v>
      </c>
      <c r="V149" s="64">
        <v>133.19999999999999</v>
      </c>
      <c r="W149" s="64">
        <v>133.6</v>
      </c>
      <c r="X149" s="64">
        <v>130.1</v>
      </c>
      <c r="Y149" s="64">
        <v>119.5</v>
      </c>
      <c r="Z149" s="64">
        <v>127.7</v>
      </c>
      <c r="AA149" s="64">
        <v>134.9</v>
      </c>
      <c r="AB149" s="64">
        <v>123.2</v>
      </c>
      <c r="AC149" s="64">
        <v>127</v>
      </c>
      <c r="AD149" s="64">
        <v>132.6</v>
      </c>
    </row>
    <row r="150" spans="1:30">
      <c r="A150" s="64" t="s">
        <v>33</v>
      </c>
      <c r="B150" s="64">
        <v>2017</v>
      </c>
      <c r="C150" s="64" t="s">
        <v>35</v>
      </c>
      <c r="D150" s="64">
        <v>132.80000000000001</v>
      </c>
      <c r="E150" s="64">
        <v>139.80000000000001</v>
      </c>
      <c r="F150" s="64">
        <v>129.30000000000001</v>
      </c>
      <c r="G150" s="64">
        <v>133.5</v>
      </c>
      <c r="H150" s="64">
        <v>114.3</v>
      </c>
      <c r="I150" s="64">
        <v>131.4</v>
      </c>
      <c r="J150" s="64">
        <v>120.2</v>
      </c>
      <c r="K150" s="64">
        <v>143.1</v>
      </c>
      <c r="L150" s="64">
        <v>119.5</v>
      </c>
      <c r="M150" s="64">
        <v>144</v>
      </c>
      <c r="N150" s="64">
        <v>123.4</v>
      </c>
      <c r="O150" s="64">
        <v>141.9</v>
      </c>
      <c r="P150" s="64">
        <v>132.1</v>
      </c>
      <c r="Q150" s="64">
        <v>146.30000000000001</v>
      </c>
      <c r="R150" s="64">
        <v>130.5</v>
      </c>
      <c r="S150" s="64">
        <v>122.5</v>
      </c>
      <c r="T150" s="64">
        <v>129.30000000000001</v>
      </c>
      <c r="U150" s="64">
        <v>130.5</v>
      </c>
      <c r="V150" s="64">
        <v>119.2</v>
      </c>
      <c r="W150" s="64">
        <v>125.3</v>
      </c>
      <c r="X150" s="64">
        <v>122.9</v>
      </c>
      <c r="Y150" s="64">
        <v>115.5</v>
      </c>
      <c r="Z150" s="64">
        <v>122.2</v>
      </c>
      <c r="AA150" s="64">
        <v>132.4</v>
      </c>
      <c r="AB150" s="64">
        <v>121.7</v>
      </c>
      <c r="AC150" s="64">
        <v>122.4</v>
      </c>
      <c r="AD150" s="64">
        <v>128.19999999999999</v>
      </c>
    </row>
    <row r="151" spans="1:30">
      <c r="A151" s="64" t="s">
        <v>34</v>
      </c>
      <c r="B151" s="64">
        <v>2017</v>
      </c>
      <c r="C151" s="64" t="s">
        <v>35</v>
      </c>
      <c r="D151" s="64">
        <v>133.1</v>
      </c>
      <c r="E151" s="64">
        <v>138.80000000000001</v>
      </c>
      <c r="F151" s="64">
        <v>129.30000000000001</v>
      </c>
      <c r="G151" s="64">
        <v>135.80000000000001</v>
      </c>
      <c r="H151" s="64">
        <v>119.2</v>
      </c>
      <c r="I151" s="64">
        <v>135.30000000000001</v>
      </c>
      <c r="J151" s="64">
        <v>119.5</v>
      </c>
      <c r="K151" s="64">
        <v>152.19999999999999</v>
      </c>
      <c r="L151" s="64">
        <v>117.3</v>
      </c>
      <c r="M151" s="64">
        <v>138.69999999999999</v>
      </c>
      <c r="N151" s="64">
        <v>126.9</v>
      </c>
      <c r="O151" s="64">
        <v>143.19999999999999</v>
      </c>
      <c r="P151" s="64">
        <v>133</v>
      </c>
      <c r="Q151" s="64">
        <v>144.4</v>
      </c>
      <c r="R151" s="64">
        <v>136.80000000000001</v>
      </c>
      <c r="S151" s="64">
        <v>130.30000000000001</v>
      </c>
      <c r="T151" s="64">
        <v>135.9</v>
      </c>
      <c r="U151" s="64">
        <v>130.5</v>
      </c>
      <c r="V151" s="64">
        <v>127.9</v>
      </c>
      <c r="W151" s="64">
        <v>129.69999999999999</v>
      </c>
      <c r="X151" s="64">
        <v>127.4</v>
      </c>
      <c r="Y151" s="64">
        <v>117.4</v>
      </c>
      <c r="Z151" s="64">
        <v>124.6</v>
      </c>
      <c r="AA151" s="64">
        <v>133.4</v>
      </c>
      <c r="AB151" s="64">
        <v>122.6</v>
      </c>
      <c r="AC151" s="64">
        <v>124.8</v>
      </c>
      <c r="AD151" s="64">
        <v>130.6</v>
      </c>
    </row>
    <row r="152" spans="1:30">
      <c r="A152" s="64" t="s">
        <v>30</v>
      </c>
      <c r="B152" s="64">
        <v>2017</v>
      </c>
      <c r="C152" s="64" t="s">
        <v>36</v>
      </c>
      <c r="D152" s="64">
        <v>133.6</v>
      </c>
      <c r="E152" s="64">
        <v>138.80000000000001</v>
      </c>
      <c r="F152" s="64">
        <v>128.80000000000001</v>
      </c>
      <c r="G152" s="64">
        <v>137.19999999999999</v>
      </c>
      <c r="H152" s="64">
        <v>121.6</v>
      </c>
      <c r="I152" s="64">
        <v>139.69999999999999</v>
      </c>
      <c r="J152" s="64">
        <v>119.7</v>
      </c>
      <c r="K152" s="64">
        <v>148</v>
      </c>
      <c r="L152" s="64">
        <v>116.9</v>
      </c>
      <c r="M152" s="64">
        <v>135.6</v>
      </c>
      <c r="N152" s="64">
        <v>129.80000000000001</v>
      </c>
      <c r="O152" s="64">
        <v>145.4</v>
      </c>
      <c r="P152" s="64">
        <v>133.4</v>
      </c>
      <c r="Q152" s="64">
        <v>144.19999999999999</v>
      </c>
      <c r="R152" s="64">
        <v>141.6</v>
      </c>
      <c r="S152" s="64">
        <v>136.19999999999999</v>
      </c>
      <c r="T152" s="64">
        <v>140.80000000000001</v>
      </c>
      <c r="U152" s="64">
        <v>131.1</v>
      </c>
      <c r="V152" s="64">
        <v>134.19999999999999</v>
      </c>
      <c r="W152" s="64">
        <v>134.1</v>
      </c>
      <c r="X152" s="64">
        <v>130.6</v>
      </c>
      <c r="Y152" s="64">
        <v>119.8</v>
      </c>
      <c r="Z152" s="64">
        <v>128.30000000000001</v>
      </c>
      <c r="AA152" s="64">
        <v>135.19999999999999</v>
      </c>
      <c r="AB152" s="64">
        <v>123.3</v>
      </c>
      <c r="AC152" s="64">
        <v>127.4</v>
      </c>
      <c r="AD152" s="64">
        <v>132.80000000000001</v>
      </c>
    </row>
    <row r="153" spans="1:30">
      <c r="A153" s="64" t="s">
        <v>33</v>
      </c>
      <c r="B153" s="64">
        <v>2017</v>
      </c>
      <c r="C153" s="64" t="s">
        <v>36</v>
      </c>
      <c r="D153" s="64">
        <v>132.69999999999999</v>
      </c>
      <c r="E153" s="64">
        <v>139.4</v>
      </c>
      <c r="F153" s="64">
        <v>128.4</v>
      </c>
      <c r="G153" s="64">
        <v>134.9</v>
      </c>
      <c r="H153" s="64">
        <v>114</v>
      </c>
      <c r="I153" s="64">
        <v>136.80000000000001</v>
      </c>
      <c r="J153" s="64">
        <v>122.2</v>
      </c>
      <c r="K153" s="64">
        <v>135.80000000000001</v>
      </c>
      <c r="L153" s="64">
        <v>120.3</v>
      </c>
      <c r="M153" s="64">
        <v>142.6</v>
      </c>
      <c r="N153" s="64">
        <v>123.6</v>
      </c>
      <c r="O153" s="64">
        <v>142.4</v>
      </c>
      <c r="P153" s="64">
        <v>132.6</v>
      </c>
      <c r="Q153" s="64">
        <v>147.5</v>
      </c>
      <c r="R153" s="64">
        <v>130.80000000000001</v>
      </c>
      <c r="S153" s="64">
        <v>122.8</v>
      </c>
      <c r="T153" s="64">
        <v>129.6</v>
      </c>
      <c r="U153" s="64">
        <v>131.1</v>
      </c>
      <c r="V153" s="64">
        <v>120.8</v>
      </c>
      <c r="W153" s="64">
        <v>125.6</v>
      </c>
      <c r="X153" s="64">
        <v>123.1</v>
      </c>
      <c r="Y153" s="64">
        <v>115.6</v>
      </c>
      <c r="Z153" s="64">
        <v>122.4</v>
      </c>
      <c r="AA153" s="64">
        <v>132.80000000000001</v>
      </c>
      <c r="AB153" s="64">
        <v>121.7</v>
      </c>
      <c r="AC153" s="64">
        <v>122.6</v>
      </c>
      <c r="AD153" s="64">
        <v>128.69999999999999</v>
      </c>
    </row>
    <row r="154" spans="1:30">
      <c r="A154" s="64" t="s">
        <v>34</v>
      </c>
      <c r="B154" s="64">
        <v>2017</v>
      </c>
      <c r="C154" s="64" t="s">
        <v>36</v>
      </c>
      <c r="D154" s="64">
        <v>133.30000000000001</v>
      </c>
      <c r="E154" s="64">
        <v>139</v>
      </c>
      <c r="F154" s="64">
        <v>128.6</v>
      </c>
      <c r="G154" s="64">
        <v>136.30000000000001</v>
      </c>
      <c r="H154" s="64">
        <v>118.8</v>
      </c>
      <c r="I154" s="64">
        <v>138.30000000000001</v>
      </c>
      <c r="J154" s="64">
        <v>120.5</v>
      </c>
      <c r="K154" s="64">
        <v>143.9</v>
      </c>
      <c r="L154" s="64">
        <v>118</v>
      </c>
      <c r="M154" s="64">
        <v>137.9</v>
      </c>
      <c r="N154" s="64">
        <v>127.2</v>
      </c>
      <c r="O154" s="64">
        <v>144</v>
      </c>
      <c r="P154" s="64">
        <v>133.1</v>
      </c>
      <c r="Q154" s="64">
        <v>145.1</v>
      </c>
      <c r="R154" s="64">
        <v>137.30000000000001</v>
      </c>
      <c r="S154" s="64">
        <v>130.6</v>
      </c>
      <c r="T154" s="64">
        <v>136.4</v>
      </c>
      <c r="U154" s="64">
        <v>131.1</v>
      </c>
      <c r="V154" s="64">
        <v>129.1</v>
      </c>
      <c r="W154" s="64">
        <v>130.1</v>
      </c>
      <c r="X154" s="64">
        <v>127.8</v>
      </c>
      <c r="Y154" s="64">
        <v>117.6</v>
      </c>
      <c r="Z154" s="64">
        <v>125</v>
      </c>
      <c r="AA154" s="64">
        <v>133.80000000000001</v>
      </c>
      <c r="AB154" s="64">
        <v>122.6</v>
      </c>
      <c r="AC154" s="64">
        <v>125.1</v>
      </c>
      <c r="AD154" s="64">
        <v>130.9</v>
      </c>
    </row>
    <row r="155" spans="1:30">
      <c r="A155" s="64" t="s">
        <v>30</v>
      </c>
      <c r="B155" s="64">
        <v>2017</v>
      </c>
      <c r="C155" s="64" t="s">
        <v>37</v>
      </c>
      <c r="D155" s="64">
        <v>133.19999999999999</v>
      </c>
      <c r="E155" s="64">
        <v>138.69999999999999</v>
      </c>
      <c r="F155" s="64">
        <v>127.1</v>
      </c>
      <c r="G155" s="64">
        <v>137.69999999999999</v>
      </c>
      <c r="H155" s="64">
        <v>121.3</v>
      </c>
      <c r="I155" s="64">
        <v>141.80000000000001</v>
      </c>
      <c r="J155" s="64">
        <v>121.5</v>
      </c>
      <c r="K155" s="64">
        <v>144.5</v>
      </c>
      <c r="L155" s="64">
        <v>117.4</v>
      </c>
      <c r="M155" s="64">
        <v>134.1</v>
      </c>
      <c r="N155" s="64">
        <v>130</v>
      </c>
      <c r="O155" s="64">
        <v>145.5</v>
      </c>
      <c r="P155" s="64">
        <v>133.5</v>
      </c>
      <c r="Q155" s="64">
        <v>144.4</v>
      </c>
      <c r="R155" s="64">
        <v>142.4</v>
      </c>
      <c r="S155" s="64">
        <v>136.80000000000001</v>
      </c>
      <c r="T155" s="64">
        <v>141.6</v>
      </c>
      <c r="U155" s="64">
        <v>131.69999999999999</v>
      </c>
      <c r="V155" s="64">
        <v>135</v>
      </c>
      <c r="W155" s="64">
        <v>134.30000000000001</v>
      </c>
      <c r="X155" s="64">
        <v>131</v>
      </c>
      <c r="Y155" s="64">
        <v>119.2</v>
      </c>
      <c r="Z155" s="64">
        <v>128.30000000000001</v>
      </c>
      <c r="AA155" s="64">
        <v>135.69999999999999</v>
      </c>
      <c r="AB155" s="64">
        <v>123.7</v>
      </c>
      <c r="AC155" s="64">
        <v>127.5</v>
      </c>
      <c r="AD155" s="64">
        <v>132.9</v>
      </c>
    </row>
    <row r="156" spans="1:30">
      <c r="A156" s="64" t="s">
        <v>33</v>
      </c>
      <c r="B156" s="64">
        <v>2017</v>
      </c>
      <c r="C156" s="64" t="s">
        <v>37</v>
      </c>
      <c r="D156" s="64">
        <v>132.69999999999999</v>
      </c>
      <c r="E156" s="64">
        <v>140.6</v>
      </c>
      <c r="F156" s="64">
        <v>124.5</v>
      </c>
      <c r="G156" s="64">
        <v>136.30000000000001</v>
      </c>
      <c r="H156" s="64">
        <v>113.5</v>
      </c>
      <c r="I156" s="64">
        <v>137.69999999999999</v>
      </c>
      <c r="J156" s="64">
        <v>127.1</v>
      </c>
      <c r="K156" s="64">
        <v>133.80000000000001</v>
      </c>
      <c r="L156" s="64">
        <v>120.8</v>
      </c>
      <c r="M156" s="64">
        <v>141.30000000000001</v>
      </c>
      <c r="N156" s="64">
        <v>123.8</v>
      </c>
      <c r="O156" s="64">
        <v>142.6</v>
      </c>
      <c r="P156" s="64">
        <v>133.4</v>
      </c>
      <c r="Q156" s="64">
        <v>148</v>
      </c>
      <c r="R156" s="64">
        <v>131.19999999999999</v>
      </c>
      <c r="S156" s="64">
        <v>123</v>
      </c>
      <c r="T156" s="64">
        <v>130</v>
      </c>
      <c r="U156" s="64">
        <v>131.69999999999999</v>
      </c>
      <c r="V156" s="64">
        <v>121.4</v>
      </c>
      <c r="W156" s="64">
        <v>126</v>
      </c>
      <c r="X156" s="64">
        <v>123.4</v>
      </c>
      <c r="Y156" s="64">
        <v>114.3</v>
      </c>
      <c r="Z156" s="64">
        <v>122.6</v>
      </c>
      <c r="AA156" s="64">
        <v>133.6</v>
      </c>
      <c r="AB156" s="64">
        <v>122.2</v>
      </c>
      <c r="AC156" s="64">
        <v>122.5</v>
      </c>
      <c r="AD156" s="64">
        <v>129.1</v>
      </c>
    </row>
    <row r="157" spans="1:30">
      <c r="A157" s="64" t="s">
        <v>34</v>
      </c>
      <c r="B157" s="64">
        <v>2017</v>
      </c>
      <c r="C157" s="64" t="s">
        <v>37</v>
      </c>
      <c r="D157" s="64">
        <v>133</v>
      </c>
      <c r="E157" s="64">
        <v>139.4</v>
      </c>
      <c r="F157" s="64">
        <v>126.1</v>
      </c>
      <c r="G157" s="64">
        <v>137.19999999999999</v>
      </c>
      <c r="H157" s="64">
        <v>118.4</v>
      </c>
      <c r="I157" s="64">
        <v>139.9</v>
      </c>
      <c r="J157" s="64">
        <v>123.4</v>
      </c>
      <c r="K157" s="64">
        <v>140.9</v>
      </c>
      <c r="L157" s="64">
        <v>118.5</v>
      </c>
      <c r="M157" s="64">
        <v>136.5</v>
      </c>
      <c r="N157" s="64">
        <v>127.4</v>
      </c>
      <c r="O157" s="64">
        <v>144.19999999999999</v>
      </c>
      <c r="P157" s="64">
        <v>133.5</v>
      </c>
      <c r="Q157" s="64">
        <v>145.4</v>
      </c>
      <c r="R157" s="64">
        <v>138</v>
      </c>
      <c r="S157" s="64">
        <v>131.1</v>
      </c>
      <c r="T157" s="64">
        <v>137</v>
      </c>
      <c r="U157" s="64">
        <v>131.69999999999999</v>
      </c>
      <c r="V157" s="64">
        <v>129.80000000000001</v>
      </c>
      <c r="W157" s="64">
        <v>130.4</v>
      </c>
      <c r="X157" s="64">
        <v>128.1</v>
      </c>
      <c r="Y157" s="64">
        <v>116.6</v>
      </c>
      <c r="Z157" s="64">
        <v>125.1</v>
      </c>
      <c r="AA157" s="64">
        <v>134.5</v>
      </c>
      <c r="AB157" s="64">
        <v>123.1</v>
      </c>
      <c r="AC157" s="64">
        <v>125.1</v>
      </c>
      <c r="AD157" s="64">
        <v>131.1</v>
      </c>
    </row>
    <row r="158" spans="1:30">
      <c r="A158" s="64" t="s">
        <v>30</v>
      </c>
      <c r="B158" s="64">
        <v>2017</v>
      </c>
      <c r="C158" s="64" t="s">
        <v>38</v>
      </c>
      <c r="D158" s="64">
        <v>133.1</v>
      </c>
      <c r="E158" s="64">
        <v>140.30000000000001</v>
      </c>
      <c r="F158" s="64">
        <v>126.8</v>
      </c>
      <c r="G158" s="64">
        <v>138.19999999999999</v>
      </c>
      <c r="H158" s="64">
        <v>120.8</v>
      </c>
      <c r="I158" s="64">
        <v>140.19999999999999</v>
      </c>
      <c r="J158" s="64">
        <v>123.8</v>
      </c>
      <c r="K158" s="64">
        <v>141.80000000000001</v>
      </c>
      <c r="L158" s="64">
        <v>118.6</v>
      </c>
      <c r="M158" s="64">
        <v>134</v>
      </c>
      <c r="N158" s="64">
        <v>130.30000000000001</v>
      </c>
      <c r="O158" s="64">
        <v>145.80000000000001</v>
      </c>
      <c r="P158" s="64">
        <v>133.80000000000001</v>
      </c>
      <c r="Q158" s="64">
        <v>145.5</v>
      </c>
      <c r="R158" s="64">
        <v>142.5</v>
      </c>
      <c r="S158" s="64">
        <v>137.30000000000001</v>
      </c>
      <c r="T158" s="64">
        <v>141.80000000000001</v>
      </c>
      <c r="U158" s="64">
        <v>132.1</v>
      </c>
      <c r="V158" s="64">
        <v>135</v>
      </c>
      <c r="W158" s="64">
        <v>134.9</v>
      </c>
      <c r="X158" s="64">
        <v>131.4</v>
      </c>
      <c r="Y158" s="64">
        <v>119.4</v>
      </c>
      <c r="Z158" s="64">
        <v>129.4</v>
      </c>
      <c r="AA158" s="64">
        <v>136.30000000000001</v>
      </c>
      <c r="AB158" s="64">
        <v>123.7</v>
      </c>
      <c r="AC158" s="64">
        <v>127.9</v>
      </c>
      <c r="AD158" s="64">
        <v>133.30000000000001</v>
      </c>
    </row>
    <row r="159" spans="1:30">
      <c r="A159" s="64" t="s">
        <v>33</v>
      </c>
      <c r="B159" s="64">
        <v>2017</v>
      </c>
      <c r="C159" s="64" t="s">
        <v>38</v>
      </c>
      <c r="D159" s="64">
        <v>132.6</v>
      </c>
      <c r="E159" s="64">
        <v>144.1</v>
      </c>
      <c r="F159" s="64">
        <v>125.6</v>
      </c>
      <c r="G159" s="64">
        <v>136.80000000000001</v>
      </c>
      <c r="H159" s="64">
        <v>113.4</v>
      </c>
      <c r="I159" s="64">
        <v>135.19999999999999</v>
      </c>
      <c r="J159" s="64">
        <v>129.19999999999999</v>
      </c>
      <c r="K159" s="64">
        <v>131.5</v>
      </c>
      <c r="L159" s="64">
        <v>121</v>
      </c>
      <c r="M159" s="64">
        <v>139.9</v>
      </c>
      <c r="N159" s="64">
        <v>123.8</v>
      </c>
      <c r="O159" s="64">
        <v>142.9</v>
      </c>
      <c r="P159" s="64">
        <v>133.6</v>
      </c>
      <c r="Q159" s="64">
        <v>148.30000000000001</v>
      </c>
      <c r="R159" s="64">
        <v>131.5</v>
      </c>
      <c r="S159" s="64">
        <v>123.2</v>
      </c>
      <c r="T159" s="64">
        <v>130.19999999999999</v>
      </c>
      <c r="U159" s="64">
        <v>132.1</v>
      </c>
      <c r="V159" s="64">
        <v>120.1</v>
      </c>
      <c r="W159" s="64">
        <v>126.5</v>
      </c>
      <c r="X159" s="64">
        <v>123.6</v>
      </c>
      <c r="Y159" s="64">
        <v>114.3</v>
      </c>
      <c r="Z159" s="64">
        <v>122.8</v>
      </c>
      <c r="AA159" s="64">
        <v>133.80000000000001</v>
      </c>
      <c r="AB159" s="64">
        <v>122</v>
      </c>
      <c r="AC159" s="64">
        <v>122.6</v>
      </c>
      <c r="AD159" s="64">
        <v>129.30000000000001</v>
      </c>
    </row>
    <row r="160" spans="1:30">
      <c r="A160" s="64" t="s">
        <v>34</v>
      </c>
      <c r="B160" s="64">
        <v>2017</v>
      </c>
      <c r="C160" s="64" t="s">
        <v>38</v>
      </c>
      <c r="D160" s="64">
        <v>132.9</v>
      </c>
      <c r="E160" s="64">
        <v>141.6</v>
      </c>
      <c r="F160" s="64">
        <v>126.3</v>
      </c>
      <c r="G160" s="64">
        <v>137.69999999999999</v>
      </c>
      <c r="H160" s="64">
        <v>118.1</v>
      </c>
      <c r="I160" s="64">
        <v>137.9</v>
      </c>
      <c r="J160" s="64">
        <v>125.6</v>
      </c>
      <c r="K160" s="64">
        <v>138.30000000000001</v>
      </c>
      <c r="L160" s="64">
        <v>119.4</v>
      </c>
      <c r="M160" s="64">
        <v>136</v>
      </c>
      <c r="N160" s="64">
        <v>127.6</v>
      </c>
      <c r="O160" s="64">
        <v>144.5</v>
      </c>
      <c r="P160" s="64">
        <v>133.69999999999999</v>
      </c>
      <c r="Q160" s="64">
        <v>146.19999999999999</v>
      </c>
      <c r="R160" s="64">
        <v>138.19999999999999</v>
      </c>
      <c r="S160" s="64">
        <v>131.4</v>
      </c>
      <c r="T160" s="64">
        <v>137.19999999999999</v>
      </c>
      <c r="U160" s="64">
        <v>132.1</v>
      </c>
      <c r="V160" s="64">
        <v>129.4</v>
      </c>
      <c r="W160" s="64">
        <v>130.9</v>
      </c>
      <c r="X160" s="64">
        <v>128.4</v>
      </c>
      <c r="Y160" s="64">
        <v>116.7</v>
      </c>
      <c r="Z160" s="64">
        <v>125.7</v>
      </c>
      <c r="AA160" s="64">
        <v>134.80000000000001</v>
      </c>
      <c r="AB160" s="64">
        <v>123</v>
      </c>
      <c r="AC160" s="64">
        <v>125.3</v>
      </c>
      <c r="AD160" s="64">
        <v>131.4</v>
      </c>
    </row>
    <row r="161" spans="1:30">
      <c r="A161" s="64" t="s">
        <v>30</v>
      </c>
      <c r="B161" s="64">
        <v>2017</v>
      </c>
      <c r="C161" s="64" t="s">
        <v>39</v>
      </c>
      <c r="D161" s="64">
        <v>133.5</v>
      </c>
      <c r="E161" s="64">
        <v>143.69999999999999</v>
      </c>
      <c r="F161" s="64">
        <v>128</v>
      </c>
      <c r="G161" s="64">
        <v>138.6</v>
      </c>
      <c r="H161" s="64">
        <v>120.9</v>
      </c>
      <c r="I161" s="64">
        <v>140.9</v>
      </c>
      <c r="J161" s="64">
        <v>128.80000000000001</v>
      </c>
      <c r="K161" s="64">
        <v>140.19999999999999</v>
      </c>
      <c r="L161" s="64">
        <v>118.9</v>
      </c>
      <c r="M161" s="64">
        <v>133.5</v>
      </c>
      <c r="N161" s="64">
        <v>130.4</v>
      </c>
      <c r="O161" s="64">
        <v>146.5</v>
      </c>
      <c r="P161" s="64">
        <v>134.9</v>
      </c>
      <c r="Q161" s="64">
        <v>145.80000000000001</v>
      </c>
      <c r="R161" s="64">
        <v>143.1</v>
      </c>
      <c r="S161" s="64">
        <v>137.69999999999999</v>
      </c>
      <c r="T161" s="64">
        <v>142.30000000000001</v>
      </c>
      <c r="U161" s="64">
        <v>131.4</v>
      </c>
      <c r="V161" s="64">
        <v>134.80000000000001</v>
      </c>
      <c r="W161" s="64">
        <v>135.19999999999999</v>
      </c>
      <c r="X161" s="64">
        <v>131.30000000000001</v>
      </c>
      <c r="Y161" s="64">
        <v>119.4</v>
      </c>
      <c r="Z161" s="64">
        <v>129.80000000000001</v>
      </c>
      <c r="AA161" s="64">
        <v>136.9</v>
      </c>
      <c r="AB161" s="64">
        <v>124.1</v>
      </c>
      <c r="AC161" s="64">
        <v>128.1</v>
      </c>
      <c r="AD161" s="64">
        <v>133.9</v>
      </c>
    </row>
    <row r="162" spans="1:30">
      <c r="A162" s="64" t="s">
        <v>33</v>
      </c>
      <c r="B162" s="64">
        <v>2017</v>
      </c>
      <c r="C162" s="64" t="s">
        <v>39</v>
      </c>
      <c r="D162" s="64">
        <v>132.9</v>
      </c>
      <c r="E162" s="64">
        <v>148.69999999999999</v>
      </c>
      <c r="F162" s="64">
        <v>128.30000000000001</v>
      </c>
      <c r="G162" s="64">
        <v>137.30000000000001</v>
      </c>
      <c r="H162" s="64">
        <v>113.5</v>
      </c>
      <c r="I162" s="64">
        <v>137.19999999999999</v>
      </c>
      <c r="J162" s="64">
        <v>142.19999999999999</v>
      </c>
      <c r="K162" s="64">
        <v>128.19999999999999</v>
      </c>
      <c r="L162" s="64">
        <v>120.9</v>
      </c>
      <c r="M162" s="64">
        <v>138.80000000000001</v>
      </c>
      <c r="N162" s="64">
        <v>124.2</v>
      </c>
      <c r="O162" s="64">
        <v>143.1</v>
      </c>
      <c r="P162" s="64">
        <v>135.69999999999999</v>
      </c>
      <c r="Q162" s="64">
        <v>148.6</v>
      </c>
      <c r="R162" s="64">
        <v>131.5</v>
      </c>
      <c r="S162" s="64">
        <v>123.2</v>
      </c>
      <c r="T162" s="64">
        <v>130.19999999999999</v>
      </c>
      <c r="U162" s="64">
        <v>131.4</v>
      </c>
      <c r="V162" s="64">
        <v>119</v>
      </c>
      <c r="W162" s="64">
        <v>126.8</v>
      </c>
      <c r="X162" s="64">
        <v>123.8</v>
      </c>
      <c r="Y162" s="64">
        <v>113.9</v>
      </c>
      <c r="Z162" s="64">
        <v>122.9</v>
      </c>
      <c r="AA162" s="64">
        <v>134.30000000000001</v>
      </c>
      <c r="AB162" s="64">
        <v>122.5</v>
      </c>
      <c r="AC162" s="64">
        <v>122.7</v>
      </c>
      <c r="AD162" s="64">
        <v>129.9</v>
      </c>
    </row>
    <row r="163" spans="1:30">
      <c r="A163" s="64" t="s">
        <v>34</v>
      </c>
      <c r="B163" s="64">
        <v>2017</v>
      </c>
      <c r="C163" s="64" t="s">
        <v>39</v>
      </c>
      <c r="D163" s="64">
        <v>133.30000000000001</v>
      </c>
      <c r="E163" s="64">
        <v>145.5</v>
      </c>
      <c r="F163" s="64">
        <v>128.1</v>
      </c>
      <c r="G163" s="64">
        <v>138.1</v>
      </c>
      <c r="H163" s="64">
        <v>118.2</v>
      </c>
      <c r="I163" s="64">
        <v>139.19999999999999</v>
      </c>
      <c r="J163" s="64">
        <v>133.30000000000001</v>
      </c>
      <c r="K163" s="64">
        <v>136.19999999999999</v>
      </c>
      <c r="L163" s="64">
        <v>119.6</v>
      </c>
      <c r="M163" s="64">
        <v>135.30000000000001</v>
      </c>
      <c r="N163" s="64">
        <v>127.8</v>
      </c>
      <c r="O163" s="64">
        <v>144.9</v>
      </c>
      <c r="P163" s="64">
        <v>135.19999999999999</v>
      </c>
      <c r="Q163" s="64">
        <v>146.5</v>
      </c>
      <c r="R163" s="64">
        <v>138.5</v>
      </c>
      <c r="S163" s="64">
        <v>131.69999999999999</v>
      </c>
      <c r="T163" s="64">
        <v>137.5</v>
      </c>
      <c r="U163" s="64">
        <v>131.4</v>
      </c>
      <c r="V163" s="64">
        <v>128.80000000000001</v>
      </c>
      <c r="W163" s="64">
        <v>131.19999999999999</v>
      </c>
      <c r="X163" s="64">
        <v>128.5</v>
      </c>
      <c r="Y163" s="64">
        <v>116.5</v>
      </c>
      <c r="Z163" s="64">
        <v>125.9</v>
      </c>
      <c r="AA163" s="64">
        <v>135.4</v>
      </c>
      <c r="AB163" s="64">
        <v>123.4</v>
      </c>
      <c r="AC163" s="64">
        <v>125.5</v>
      </c>
      <c r="AD163" s="64">
        <v>132</v>
      </c>
    </row>
    <row r="164" spans="1:30">
      <c r="A164" s="64" t="s">
        <v>30</v>
      </c>
      <c r="B164" s="64">
        <v>2017</v>
      </c>
      <c r="C164" s="64" t="s">
        <v>40</v>
      </c>
      <c r="D164" s="64">
        <v>134</v>
      </c>
      <c r="E164" s="64">
        <v>144.19999999999999</v>
      </c>
      <c r="F164" s="64">
        <v>129.80000000000001</v>
      </c>
      <c r="G164" s="64">
        <v>139</v>
      </c>
      <c r="H164" s="64">
        <v>120.9</v>
      </c>
      <c r="I164" s="64">
        <v>143.9</v>
      </c>
      <c r="J164" s="64">
        <v>151.5</v>
      </c>
      <c r="K164" s="64">
        <v>138.1</v>
      </c>
      <c r="L164" s="64">
        <v>120</v>
      </c>
      <c r="M164" s="64">
        <v>133.9</v>
      </c>
      <c r="N164" s="64">
        <v>131.4</v>
      </c>
      <c r="O164" s="64">
        <v>147.69999999999999</v>
      </c>
      <c r="P164" s="64">
        <v>138.5</v>
      </c>
      <c r="Q164" s="64">
        <v>147.4</v>
      </c>
      <c r="R164" s="64">
        <v>144.30000000000001</v>
      </c>
      <c r="S164" s="64">
        <v>138.1</v>
      </c>
      <c r="T164" s="64">
        <v>143.5</v>
      </c>
      <c r="U164" s="64">
        <v>132.6</v>
      </c>
      <c r="V164" s="64">
        <v>135.30000000000001</v>
      </c>
      <c r="W164" s="64">
        <v>136.1</v>
      </c>
      <c r="X164" s="64">
        <v>132.1</v>
      </c>
      <c r="Y164" s="64">
        <v>119.1</v>
      </c>
      <c r="Z164" s="64">
        <v>130.6</v>
      </c>
      <c r="AA164" s="64">
        <v>138.6</v>
      </c>
      <c r="AB164" s="64">
        <v>124.4</v>
      </c>
      <c r="AC164" s="64">
        <v>128.6</v>
      </c>
      <c r="AD164" s="64">
        <v>136.19999999999999</v>
      </c>
    </row>
    <row r="165" spans="1:30">
      <c r="A165" s="64" t="s">
        <v>33</v>
      </c>
      <c r="B165" s="64">
        <v>2017</v>
      </c>
      <c r="C165" s="64" t="s">
        <v>40</v>
      </c>
      <c r="D165" s="64">
        <v>132.80000000000001</v>
      </c>
      <c r="E165" s="64">
        <v>148.4</v>
      </c>
      <c r="F165" s="64">
        <v>129.4</v>
      </c>
      <c r="G165" s="64">
        <v>137.69999999999999</v>
      </c>
      <c r="H165" s="64">
        <v>113.4</v>
      </c>
      <c r="I165" s="64">
        <v>139.4</v>
      </c>
      <c r="J165" s="64">
        <v>175.1</v>
      </c>
      <c r="K165" s="64">
        <v>124.7</v>
      </c>
      <c r="L165" s="64">
        <v>121.5</v>
      </c>
      <c r="M165" s="64">
        <v>137.80000000000001</v>
      </c>
      <c r="N165" s="64">
        <v>124.4</v>
      </c>
      <c r="O165" s="64">
        <v>143.69999999999999</v>
      </c>
      <c r="P165" s="64">
        <v>139.80000000000001</v>
      </c>
      <c r="Q165" s="64">
        <v>150.5</v>
      </c>
      <c r="R165" s="64">
        <v>131.6</v>
      </c>
      <c r="S165" s="64">
        <v>123.7</v>
      </c>
      <c r="T165" s="64">
        <v>130.4</v>
      </c>
      <c r="U165" s="64">
        <v>132.6</v>
      </c>
      <c r="V165" s="64">
        <v>119.7</v>
      </c>
      <c r="W165" s="64">
        <v>127.2</v>
      </c>
      <c r="X165" s="64">
        <v>125</v>
      </c>
      <c r="Y165" s="64">
        <v>113.2</v>
      </c>
      <c r="Z165" s="64">
        <v>123.5</v>
      </c>
      <c r="AA165" s="64">
        <v>135.5</v>
      </c>
      <c r="AB165" s="64">
        <v>122.4</v>
      </c>
      <c r="AC165" s="64">
        <v>123</v>
      </c>
      <c r="AD165" s="64">
        <v>131.80000000000001</v>
      </c>
    </row>
    <row r="166" spans="1:30">
      <c r="A166" s="64" t="s">
        <v>34</v>
      </c>
      <c r="B166" s="64">
        <v>2017</v>
      </c>
      <c r="C166" s="64" t="s">
        <v>40</v>
      </c>
      <c r="D166" s="64">
        <v>133.6</v>
      </c>
      <c r="E166" s="64">
        <v>145.69999999999999</v>
      </c>
      <c r="F166" s="64">
        <v>129.6</v>
      </c>
      <c r="G166" s="64">
        <v>138.5</v>
      </c>
      <c r="H166" s="64">
        <v>118.1</v>
      </c>
      <c r="I166" s="64">
        <v>141.80000000000001</v>
      </c>
      <c r="J166" s="64">
        <v>159.5</v>
      </c>
      <c r="K166" s="64">
        <v>133.6</v>
      </c>
      <c r="L166" s="64">
        <v>120.5</v>
      </c>
      <c r="M166" s="64">
        <v>135.19999999999999</v>
      </c>
      <c r="N166" s="64">
        <v>128.5</v>
      </c>
      <c r="O166" s="64">
        <v>145.80000000000001</v>
      </c>
      <c r="P166" s="64">
        <v>139</v>
      </c>
      <c r="Q166" s="64">
        <v>148.19999999999999</v>
      </c>
      <c r="R166" s="64">
        <v>139.30000000000001</v>
      </c>
      <c r="S166" s="64">
        <v>132.1</v>
      </c>
      <c r="T166" s="64">
        <v>138.30000000000001</v>
      </c>
      <c r="U166" s="64">
        <v>132.6</v>
      </c>
      <c r="V166" s="64">
        <v>129.4</v>
      </c>
      <c r="W166" s="64">
        <v>131.9</v>
      </c>
      <c r="X166" s="64">
        <v>129.4</v>
      </c>
      <c r="Y166" s="64">
        <v>116</v>
      </c>
      <c r="Z166" s="64">
        <v>126.6</v>
      </c>
      <c r="AA166" s="64">
        <v>136.80000000000001</v>
      </c>
      <c r="AB166" s="64">
        <v>123.6</v>
      </c>
      <c r="AC166" s="64">
        <v>125.9</v>
      </c>
      <c r="AD166" s="64">
        <v>134.19999999999999</v>
      </c>
    </row>
    <row r="167" spans="1:30">
      <c r="A167" s="64" t="s">
        <v>30</v>
      </c>
      <c r="B167" s="64">
        <v>2017</v>
      </c>
      <c r="C167" s="64" t="s">
        <v>41</v>
      </c>
      <c r="D167" s="64">
        <v>134.80000000000001</v>
      </c>
      <c r="E167" s="64">
        <v>143.1</v>
      </c>
      <c r="F167" s="64">
        <v>130</v>
      </c>
      <c r="G167" s="64">
        <v>139.4</v>
      </c>
      <c r="H167" s="64">
        <v>120.5</v>
      </c>
      <c r="I167" s="64">
        <v>148</v>
      </c>
      <c r="J167" s="64">
        <v>162.9</v>
      </c>
      <c r="K167" s="64">
        <v>137.4</v>
      </c>
      <c r="L167" s="64">
        <v>120.8</v>
      </c>
      <c r="M167" s="64">
        <v>134.69999999999999</v>
      </c>
      <c r="N167" s="64">
        <v>131.6</v>
      </c>
      <c r="O167" s="64">
        <v>148.69999999999999</v>
      </c>
      <c r="P167" s="64">
        <v>140.6</v>
      </c>
      <c r="Q167" s="64">
        <v>149</v>
      </c>
      <c r="R167" s="64">
        <v>145.30000000000001</v>
      </c>
      <c r="S167" s="64">
        <v>139.19999999999999</v>
      </c>
      <c r="T167" s="64">
        <v>144.5</v>
      </c>
      <c r="U167" s="64">
        <v>134.4</v>
      </c>
      <c r="V167" s="64">
        <v>136.4</v>
      </c>
      <c r="W167" s="64">
        <v>137.30000000000001</v>
      </c>
      <c r="X167" s="64">
        <v>133</v>
      </c>
      <c r="Y167" s="64">
        <v>120.3</v>
      </c>
      <c r="Z167" s="64">
        <v>131.5</v>
      </c>
      <c r="AA167" s="64">
        <v>140.19999999999999</v>
      </c>
      <c r="AB167" s="64">
        <v>125.4</v>
      </c>
      <c r="AC167" s="64">
        <v>129.69999999999999</v>
      </c>
      <c r="AD167" s="64">
        <v>137.80000000000001</v>
      </c>
    </row>
    <row r="168" spans="1:30">
      <c r="A168" s="64" t="s">
        <v>33</v>
      </c>
      <c r="B168" s="64">
        <v>2017</v>
      </c>
      <c r="C168" s="64" t="s">
        <v>41</v>
      </c>
      <c r="D168" s="64">
        <v>133.19999999999999</v>
      </c>
      <c r="E168" s="64">
        <v>143.9</v>
      </c>
      <c r="F168" s="64">
        <v>128.30000000000001</v>
      </c>
      <c r="G168" s="64">
        <v>138.30000000000001</v>
      </c>
      <c r="H168" s="64">
        <v>114.1</v>
      </c>
      <c r="I168" s="64">
        <v>142.69999999999999</v>
      </c>
      <c r="J168" s="64">
        <v>179.8</v>
      </c>
      <c r="K168" s="64">
        <v>123.5</v>
      </c>
      <c r="L168" s="64">
        <v>122.1</v>
      </c>
      <c r="M168" s="64">
        <v>137.5</v>
      </c>
      <c r="N168" s="64">
        <v>124.6</v>
      </c>
      <c r="O168" s="64">
        <v>144.5</v>
      </c>
      <c r="P168" s="64">
        <v>140.5</v>
      </c>
      <c r="Q168" s="64">
        <v>152.1</v>
      </c>
      <c r="R168" s="64">
        <v>132.69999999999999</v>
      </c>
      <c r="S168" s="64">
        <v>124.3</v>
      </c>
      <c r="T168" s="64">
        <v>131.4</v>
      </c>
      <c r="U168" s="64">
        <v>134.4</v>
      </c>
      <c r="V168" s="64">
        <v>118.9</v>
      </c>
      <c r="W168" s="64">
        <v>127.7</v>
      </c>
      <c r="X168" s="64">
        <v>125.7</v>
      </c>
      <c r="Y168" s="64">
        <v>114.6</v>
      </c>
      <c r="Z168" s="64">
        <v>124.1</v>
      </c>
      <c r="AA168" s="64">
        <v>135.69999999999999</v>
      </c>
      <c r="AB168" s="64">
        <v>123.3</v>
      </c>
      <c r="AC168" s="64">
        <v>123.8</v>
      </c>
      <c r="AD168" s="64">
        <v>132.69999999999999</v>
      </c>
    </row>
    <row r="169" spans="1:30">
      <c r="A169" s="64" t="s">
        <v>34</v>
      </c>
      <c r="B169" s="64">
        <v>2017</v>
      </c>
      <c r="C169" s="64" t="s">
        <v>41</v>
      </c>
      <c r="D169" s="64">
        <v>134.30000000000001</v>
      </c>
      <c r="E169" s="64">
        <v>143.4</v>
      </c>
      <c r="F169" s="64">
        <v>129.30000000000001</v>
      </c>
      <c r="G169" s="64">
        <v>139</v>
      </c>
      <c r="H169" s="64">
        <v>118.1</v>
      </c>
      <c r="I169" s="64">
        <v>145.5</v>
      </c>
      <c r="J169" s="64">
        <v>168.6</v>
      </c>
      <c r="K169" s="64">
        <v>132.69999999999999</v>
      </c>
      <c r="L169" s="64">
        <v>121.2</v>
      </c>
      <c r="M169" s="64">
        <v>135.6</v>
      </c>
      <c r="N169" s="64">
        <v>128.69999999999999</v>
      </c>
      <c r="O169" s="64">
        <v>146.80000000000001</v>
      </c>
      <c r="P169" s="64">
        <v>140.6</v>
      </c>
      <c r="Q169" s="64">
        <v>149.80000000000001</v>
      </c>
      <c r="R169" s="64">
        <v>140.30000000000001</v>
      </c>
      <c r="S169" s="64">
        <v>133</v>
      </c>
      <c r="T169" s="64">
        <v>139.30000000000001</v>
      </c>
      <c r="U169" s="64">
        <v>134.4</v>
      </c>
      <c r="V169" s="64">
        <v>129.80000000000001</v>
      </c>
      <c r="W169" s="64">
        <v>132.80000000000001</v>
      </c>
      <c r="X169" s="64">
        <v>130.19999999999999</v>
      </c>
      <c r="Y169" s="64">
        <v>117.3</v>
      </c>
      <c r="Z169" s="64">
        <v>127.3</v>
      </c>
      <c r="AA169" s="64">
        <v>137.6</v>
      </c>
      <c r="AB169" s="64">
        <v>124.5</v>
      </c>
      <c r="AC169" s="64">
        <v>126.8</v>
      </c>
      <c r="AD169" s="64">
        <v>135.4</v>
      </c>
    </row>
    <row r="170" spans="1:30">
      <c r="A170" s="64" t="s">
        <v>30</v>
      </c>
      <c r="B170" s="64">
        <v>2017</v>
      </c>
      <c r="C170" s="64" t="s">
        <v>42</v>
      </c>
      <c r="D170" s="64">
        <v>135.19999999999999</v>
      </c>
      <c r="E170" s="64">
        <v>142</v>
      </c>
      <c r="F170" s="64">
        <v>130.5</v>
      </c>
      <c r="G170" s="64">
        <v>140.19999999999999</v>
      </c>
      <c r="H170" s="64">
        <v>120.7</v>
      </c>
      <c r="I170" s="64">
        <v>147.80000000000001</v>
      </c>
      <c r="J170" s="64">
        <v>154.5</v>
      </c>
      <c r="K170" s="64">
        <v>137.1</v>
      </c>
      <c r="L170" s="64">
        <v>121</v>
      </c>
      <c r="M170" s="64">
        <v>134.69999999999999</v>
      </c>
      <c r="N170" s="64">
        <v>131.69999999999999</v>
      </c>
      <c r="O170" s="64">
        <v>149.30000000000001</v>
      </c>
      <c r="P170" s="64">
        <v>139.6</v>
      </c>
      <c r="Q170" s="64">
        <v>149.80000000000001</v>
      </c>
      <c r="R170" s="64">
        <v>146.1</v>
      </c>
      <c r="S170" s="64">
        <v>139.69999999999999</v>
      </c>
      <c r="T170" s="64">
        <v>145.19999999999999</v>
      </c>
      <c r="U170" s="64">
        <v>135.69999999999999</v>
      </c>
      <c r="V170" s="64">
        <v>137.4</v>
      </c>
      <c r="W170" s="64">
        <v>137.9</v>
      </c>
      <c r="X170" s="64">
        <v>133.4</v>
      </c>
      <c r="Y170" s="64">
        <v>121.2</v>
      </c>
      <c r="Z170" s="64">
        <v>132.30000000000001</v>
      </c>
      <c r="AA170" s="64">
        <v>139.6</v>
      </c>
      <c r="AB170" s="64">
        <v>126.7</v>
      </c>
      <c r="AC170" s="64">
        <v>130.30000000000001</v>
      </c>
      <c r="AD170" s="64">
        <v>137.6</v>
      </c>
    </row>
    <row r="171" spans="1:30">
      <c r="A171" s="64" t="s">
        <v>33</v>
      </c>
      <c r="B171" s="64">
        <v>2017</v>
      </c>
      <c r="C171" s="64" t="s">
        <v>42</v>
      </c>
      <c r="D171" s="64">
        <v>133.6</v>
      </c>
      <c r="E171" s="64">
        <v>143</v>
      </c>
      <c r="F171" s="64">
        <v>129.69999999999999</v>
      </c>
      <c r="G171" s="64">
        <v>138.69999999999999</v>
      </c>
      <c r="H171" s="64">
        <v>114.5</v>
      </c>
      <c r="I171" s="64">
        <v>137.5</v>
      </c>
      <c r="J171" s="64">
        <v>160.69999999999999</v>
      </c>
      <c r="K171" s="64">
        <v>124.5</v>
      </c>
      <c r="L171" s="64">
        <v>122.4</v>
      </c>
      <c r="M171" s="64">
        <v>137.30000000000001</v>
      </c>
      <c r="N171" s="64">
        <v>124.8</v>
      </c>
      <c r="O171" s="64">
        <v>145</v>
      </c>
      <c r="P171" s="64">
        <v>138</v>
      </c>
      <c r="Q171" s="64">
        <v>153.6</v>
      </c>
      <c r="R171" s="64">
        <v>133.30000000000001</v>
      </c>
      <c r="S171" s="64">
        <v>124.6</v>
      </c>
      <c r="T171" s="64">
        <v>132</v>
      </c>
      <c r="U171" s="64">
        <v>135.69999999999999</v>
      </c>
      <c r="V171" s="64">
        <v>120.6</v>
      </c>
      <c r="W171" s="64">
        <v>128.1</v>
      </c>
      <c r="X171" s="64">
        <v>126.1</v>
      </c>
      <c r="Y171" s="64">
        <v>115.7</v>
      </c>
      <c r="Z171" s="64">
        <v>124.5</v>
      </c>
      <c r="AA171" s="64">
        <v>135.9</v>
      </c>
      <c r="AB171" s="64">
        <v>124.4</v>
      </c>
      <c r="AC171" s="64">
        <v>124.5</v>
      </c>
      <c r="AD171" s="64">
        <v>132.4</v>
      </c>
    </row>
    <row r="172" spans="1:30">
      <c r="A172" s="64" t="s">
        <v>34</v>
      </c>
      <c r="B172" s="64">
        <v>2017</v>
      </c>
      <c r="C172" s="64" t="s">
        <v>42</v>
      </c>
      <c r="D172" s="64">
        <v>134.69999999999999</v>
      </c>
      <c r="E172" s="64">
        <v>142.4</v>
      </c>
      <c r="F172" s="64">
        <v>130.19999999999999</v>
      </c>
      <c r="G172" s="64">
        <v>139.6</v>
      </c>
      <c r="H172" s="64">
        <v>118.4</v>
      </c>
      <c r="I172" s="64">
        <v>143</v>
      </c>
      <c r="J172" s="64">
        <v>156.6</v>
      </c>
      <c r="K172" s="64">
        <v>132.9</v>
      </c>
      <c r="L172" s="64">
        <v>121.5</v>
      </c>
      <c r="M172" s="64">
        <v>135.6</v>
      </c>
      <c r="N172" s="64">
        <v>128.80000000000001</v>
      </c>
      <c r="O172" s="64">
        <v>147.30000000000001</v>
      </c>
      <c r="P172" s="64">
        <v>139</v>
      </c>
      <c r="Q172" s="64">
        <v>150.80000000000001</v>
      </c>
      <c r="R172" s="64">
        <v>141.1</v>
      </c>
      <c r="S172" s="64">
        <v>133.4</v>
      </c>
      <c r="T172" s="64">
        <v>140</v>
      </c>
      <c r="U172" s="64">
        <v>135.69999999999999</v>
      </c>
      <c r="V172" s="64">
        <v>131</v>
      </c>
      <c r="W172" s="64">
        <v>133.30000000000001</v>
      </c>
      <c r="X172" s="64">
        <v>130.6</v>
      </c>
      <c r="Y172" s="64">
        <v>118.3</v>
      </c>
      <c r="Z172" s="64">
        <v>127.9</v>
      </c>
      <c r="AA172" s="64">
        <v>137.4</v>
      </c>
      <c r="AB172" s="64">
        <v>125.7</v>
      </c>
      <c r="AC172" s="64">
        <v>127.5</v>
      </c>
      <c r="AD172" s="64">
        <v>135.19999999999999</v>
      </c>
    </row>
    <row r="173" spans="1:30">
      <c r="A173" s="64" t="s">
        <v>30</v>
      </c>
      <c r="B173" s="64">
        <v>2017</v>
      </c>
      <c r="C173" s="64" t="s">
        <v>43</v>
      </c>
      <c r="D173" s="64">
        <v>135.9</v>
      </c>
      <c r="E173" s="64">
        <v>141.9</v>
      </c>
      <c r="F173" s="64">
        <v>131</v>
      </c>
      <c r="G173" s="64">
        <v>141.5</v>
      </c>
      <c r="H173" s="64">
        <v>121.4</v>
      </c>
      <c r="I173" s="64">
        <v>146.69999999999999</v>
      </c>
      <c r="J173" s="64">
        <v>157.1</v>
      </c>
      <c r="K173" s="64">
        <v>136.4</v>
      </c>
      <c r="L173" s="64">
        <v>121.4</v>
      </c>
      <c r="M173" s="64">
        <v>135.6</v>
      </c>
      <c r="N173" s="64">
        <v>131.30000000000001</v>
      </c>
      <c r="O173" s="64">
        <v>150.30000000000001</v>
      </c>
      <c r="P173" s="64">
        <v>140.4</v>
      </c>
      <c r="Q173" s="64">
        <v>150.5</v>
      </c>
      <c r="R173" s="64">
        <v>147.19999999999999</v>
      </c>
      <c r="S173" s="64">
        <v>140.6</v>
      </c>
      <c r="T173" s="64">
        <v>146.19999999999999</v>
      </c>
      <c r="U173" s="64">
        <v>137.30000000000001</v>
      </c>
      <c r="V173" s="64">
        <v>138.1</v>
      </c>
      <c r="W173" s="64">
        <v>138.4</v>
      </c>
      <c r="X173" s="64">
        <v>134.19999999999999</v>
      </c>
      <c r="Y173" s="64">
        <v>121</v>
      </c>
      <c r="Z173" s="64">
        <v>133</v>
      </c>
      <c r="AA173" s="64">
        <v>140.1</v>
      </c>
      <c r="AB173" s="64">
        <v>127.4</v>
      </c>
      <c r="AC173" s="64">
        <v>130.69999999999999</v>
      </c>
      <c r="AD173" s="64">
        <v>138.30000000000001</v>
      </c>
    </row>
    <row r="174" spans="1:30">
      <c r="A174" s="64" t="s">
        <v>33</v>
      </c>
      <c r="B174" s="64">
        <v>2017</v>
      </c>
      <c r="C174" s="64" t="s">
        <v>43</v>
      </c>
      <c r="D174" s="64">
        <v>133.9</v>
      </c>
      <c r="E174" s="64">
        <v>142.80000000000001</v>
      </c>
      <c r="F174" s="64">
        <v>131.4</v>
      </c>
      <c r="G174" s="64">
        <v>139.1</v>
      </c>
      <c r="H174" s="64">
        <v>114.9</v>
      </c>
      <c r="I174" s="64">
        <v>135.6</v>
      </c>
      <c r="J174" s="64">
        <v>173.2</v>
      </c>
      <c r="K174" s="64">
        <v>124.1</v>
      </c>
      <c r="L174" s="64">
        <v>122.6</v>
      </c>
      <c r="M174" s="64">
        <v>137.80000000000001</v>
      </c>
      <c r="N174" s="64">
        <v>125.1</v>
      </c>
      <c r="O174" s="64">
        <v>145.5</v>
      </c>
      <c r="P174" s="64">
        <v>139.69999999999999</v>
      </c>
      <c r="Q174" s="64">
        <v>154.6</v>
      </c>
      <c r="R174" s="64">
        <v>134</v>
      </c>
      <c r="S174" s="64">
        <v>124.9</v>
      </c>
      <c r="T174" s="64">
        <v>132.6</v>
      </c>
      <c r="U174" s="64">
        <v>137.30000000000001</v>
      </c>
      <c r="V174" s="64">
        <v>122.6</v>
      </c>
      <c r="W174" s="64">
        <v>128.30000000000001</v>
      </c>
      <c r="X174" s="64">
        <v>126.6</v>
      </c>
      <c r="Y174" s="64">
        <v>115</v>
      </c>
      <c r="Z174" s="64">
        <v>124.8</v>
      </c>
      <c r="AA174" s="64">
        <v>136.30000000000001</v>
      </c>
      <c r="AB174" s="64">
        <v>124.6</v>
      </c>
      <c r="AC174" s="64">
        <v>124.5</v>
      </c>
      <c r="AD174" s="64">
        <v>133.5</v>
      </c>
    </row>
    <row r="175" spans="1:30">
      <c r="A175" s="64" t="s">
        <v>34</v>
      </c>
      <c r="B175" s="64">
        <v>2017</v>
      </c>
      <c r="C175" s="64" t="s">
        <v>43</v>
      </c>
      <c r="D175" s="64">
        <v>135.30000000000001</v>
      </c>
      <c r="E175" s="64">
        <v>142.19999999999999</v>
      </c>
      <c r="F175" s="64">
        <v>131.19999999999999</v>
      </c>
      <c r="G175" s="64">
        <v>140.6</v>
      </c>
      <c r="H175" s="64">
        <v>119</v>
      </c>
      <c r="I175" s="64">
        <v>141.5</v>
      </c>
      <c r="J175" s="64">
        <v>162.6</v>
      </c>
      <c r="K175" s="64">
        <v>132.30000000000001</v>
      </c>
      <c r="L175" s="64">
        <v>121.8</v>
      </c>
      <c r="M175" s="64">
        <v>136.30000000000001</v>
      </c>
      <c r="N175" s="64">
        <v>128.69999999999999</v>
      </c>
      <c r="O175" s="64">
        <v>148.1</v>
      </c>
      <c r="P175" s="64">
        <v>140.1</v>
      </c>
      <c r="Q175" s="64">
        <v>151.6</v>
      </c>
      <c r="R175" s="64">
        <v>142</v>
      </c>
      <c r="S175" s="64">
        <v>134.1</v>
      </c>
      <c r="T175" s="64">
        <v>140.80000000000001</v>
      </c>
      <c r="U175" s="64">
        <v>137.30000000000001</v>
      </c>
      <c r="V175" s="64">
        <v>132.19999999999999</v>
      </c>
      <c r="W175" s="64">
        <v>133.6</v>
      </c>
      <c r="X175" s="64">
        <v>131.30000000000001</v>
      </c>
      <c r="Y175" s="64">
        <v>117.8</v>
      </c>
      <c r="Z175" s="64">
        <v>128.4</v>
      </c>
      <c r="AA175" s="64">
        <v>137.9</v>
      </c>
      <c r="AB175" s="64">
        <v>126.2</v>
      </c>
      <c r="AC175" s="64">
        <v>127.7</v>
      </c>
      <c r="AD175" s="64">
        <v>136.1</v>
      </c>
    </row>
    <row r="176" spans="1:30">
      <c r="A176" s="64" t="s">
        <v>30</v>
      </c>
      <c r="B176" s="64">
        <v>2017</v>
      </c>
      <c r="C176" s="64" t="s">
        <v>45</v>
      </c>
      <c r="D176" s="64">
        <v>136.30000000000001</v>
      </c>
      <c r="E176" s="64">
        <v>142.5</v>
      </c>
      <c r="F176" s="64">
        <v>140.5</v>
      </c>
      <c r="G176" s="64">
        <v>141.5</v>
      </c>
      <c r="H176" s="64">
        <v>121.6</v>
      </c>
      <c r="I176" s="64">
        <v>147.30000000000001</v>
      </c>
      <c r="J176" s="64">
        <v>168</v>
      </c>
      <c r="K176" s="64">
        <v>135.80000000000001</v>
      </c>
      <c r="L176" s="64">
        <v>122.5</v>
      </c>
      <c r="M176" s="64">
        <v>136</v>
      </c>
      <c r="N176" s="64">
        <v>131.9</v>
      </c>
      <c r="O176" s="64">
        <v>151.4</v>
      </c>
      <c r="P176" s="64">
        <v>142.4</v>
      </c>
      <c r="Q176" s="64">
        <v>152.1</v>
      </c>
      <c r="R176" s="64">
        <v>148.19999999999999</v>
      </c>
      <c r="S176" s="64">
        <v>141.5</v>
      </c>
      <c r="T176" s="64">
        <v>147.30000000000001</v>
      </c>
      <c r="U176" s="64">
        <v>138.6</v>
      </c>
      <c r="V176" s="64">
        <v>141.1</v>
      </c>
      <c r="W176" s="64">
        <v>139.4</v>
      </c>
      <c r="X176" s="64">
        <v>135.80000000000001</v>
      </c>
      <c r="Y176" s="64">
        <v>121.6</v>
      </c>
      <c r="Z176" s="64">
        <v>133.69999999999999</v>
      </c>
      <c r="AA176" s="64">
        <v>141.5</v>
      </c>
      <c r="AB176" s="64">
        <v>128.1</v>
      </c>
      <c r="AC176" s="64">
        <v>131.69999999999999</v>
      </c>
      <c r="AD176" s="64">
        <v>140</v>
      </c>
    </row>
    <row r="177" spans="1:30">
      <c r="A177" s="64" t="s">
        <v>33</v>
      </c>
      <c r="B177" s="64">
        <v>2017</v>
      </c>
      <c r="C177" s="64" t="s">
        <v>45</v>
      </c>
      <c r="D177" s="64">
        <v>134.30000000000001</v>
      </c>
      <c r="E177" s="64">
        <v>142.1</v>
      </c>
      <c r="F177" s="64">
        <v>146.69999999999999</v>
      </c>
      <c r="G177" s="64">
        <v>139.5</v>
      </c>
      <c r="H177" s="64">
        <v>115.2</v>
      </c>
      <c r="I177" s="64">
        <v>136.4</v>
      </c>
      <c r="J177" s="64">
        <v>185.2</v>
      </c>
      <c r="K177" s="64">
        <v>122.2</v>
      </c>
      <c r="L177" s="64">
        <v>123.9</v>
      </c>
      <c r="M177" s="64">
        <v>138.30000000000001</v>
      </c>
      <c r="N177" s="64">
        <v>125.4</v>
      </c>
      <c r="O177" s="64">
        <v>146</v>
      </c>
      <c r="P177" s="64">
        <v>141.5</v>
      </c>
      <c r="Q177" s="64">
        <v>156.19999999999999</v>
      </c>
      <c r="R177" s="64">
        <v>135</v>
      </c>
      <c r="S177" s="64">
        <v>125.4</v>
      </c>
      <c r="T177" s="64">
        <v>133.5</v>
      </c>
      <c r="U177" s="64">
        <v>138.6</v>
      </c>
      <c r="V177" s="64">
        <v>125.7</v>
      </c>
      <c r="W177" s="64">
        <v>128.80000000000001</v>
      </c>
      <c r="X177" s="64">
        <v>127.4</v>
      </c>
      <c r="Y177" s="64">
        <v>115.3</v>
      </c>
      <c r="Z177" s="64">
        <v>125.1</v>
      </c>
      <c r="AA177" s="64">
        <v>136.6</v>
      </c>
      <c r="AB177" s="64">
        <v>124.9</v>
      </c>
      <c r="AC177" s="64">
        <v>124.9</v>
      </c>
      <c r="AD177" s="64">
        <v>134.80000000000001</v>
      </c>
    </row>
    <row r="178" spans="1:30">
      <c r="A178" s="64" t="s">
        <v>34</v>
      </c>
      <c r="B178" s="64">
        <v>2017</v>
      </c>
      <c r="C178" s="64" t="s">
        <v>45</v>
      </c>
      <c r="D178" s="64">
        <v>135.69999999999999</v>
      </c>
      <c r="E178" s="64">
        <v>142.4</v>
      </c>
      <c r="F178" s="64">
        <v>142.9</v>
      </c>
      <c r="G178" s="64">
        <v>140.80000000000001</v>
      </c>
      <c r="H178" s="64">
        <v>119.2</v>
      </c>
      <c r="I178" s="64">
        <v>142.19999999999999</v>
      </c>
      <c r="J178" s="64">
        <v>173.8</v>
      </c>
      <c r="K178" s="64">
        <v>131.19999999999999</v>
      </c>
      <c r="L178" s="64">
        <v>123</v>
      </c>
      <c r="M178" s="64">
        <v>136.80000000000001</v>
      </c>
      <c r="N178" s="64">
        <v>129.19999999999999</v>
      </c>
      <c r="O178" s="64">
        <v>148.9</v>
      </c>
      <c r="P178" s="64">
        <v>142.1</v>
      </c>
      <c r="Q178" s="64">
        <v>153.19999999999999</v>
      </c>
      <c r="R178" s="64">
        <v>143</v>
      </c>
      <c r="S178" s="64">
        <v>134.80000000000001</v>
      </c>
      <c r="T178" s="64">
        <v>141.80000000000001</v>
      </c>
      <c r="U178" s="64">
        <v>138.6</v>
      </c>
      <c r="V178" s="64">
        <v>135.30000000000001</v>
      </c>
      <c r="W178" s="64">
        <v>134.4</v>
      </c>
      <c r="X178" s="64">
        <v>132.6</v>
      </c>
      <c r="Y178" s="64">
        <v>118.3</v>
      </c>
      <c r="Z178" s="64">
        <v>128.9</v>
      </c>
      <c r="AA178" s="64">
        <v>138.6</v>
      </c>
      <c r="AB178" s="64">
        <v>126.8</v>
      </c>
      <c r="AC178" s="64">
        <v>128.4</v>
      </c>
      <c r="AD178" s="64">
        <v>137.6</v>
      </c>
    </row>
    <row r="179" spans="1:30">
      <c r="A179" s="64" t="s">
        <v>30</v>
      </c>
      <c r="B179" s="64">
        <v>2017</v>
      </c>
      <c r="C179" s="64" t="s">
        <v>46</v>
      </c>
      <c r="D179" s="64">
        <v>136.4</v>
      </c>
      <c r="E179" s="64">
        <v>143.69999999999999</v>
      </c>
      <c r="F179" s="64">
        <v>144.80000000000001</v>
      </c>
      <c r="G179" s="64">
        <v>141.9</v>
      </c>
      <c r="H179" s="64">
        <v>123.1</v>
      </c>
      <c r="I179" s="64">
        <v>147.19999999999999</v>
      </c>
      <c r="J179" s="64">
        <v>161</v>
      </c>
      <c r="K179" s="64">
        <v>133.80000000000001</v>
      </c>
      <c r="L179" s="64">
        <v>121.9</v>
      </c>
      <c r="M179" s="64">
        <v>135.80000000000001</v>
      </c>
      <c r="N179" s="64">
        <v>131.1</v>
      </c>
      <c r="O179" s="64">
        <v>151.4</v>
      </c>
      <c r="P179" s="64">
        <v>141.5</v>
      </c>
      <c r="Q179" s="64">
        <v>153.19999999999999</v>
      </c>
      <c r="R179" s="64">
        <v>148</v>
      </c>
      <c r="S179" s="64">
        <v>141.9</v>
      </c>
      <c r="T179" s="64">
        <v>147.19999999999999</v>
      </c>
      <c r="U179" s="64">
        <v>139.1</v>
      </c>
      <c r="V179" s="64">
        <v>142.6</v>
      </c>
      <c r="W179" s="64">
        <v>139.5</v>
      </c>
      <c r="X179" s="64">
        <v>136.1</v>
      </c>
      <c r="Y179" s="64">
        <v>122</v>
      </c>
      <c r="Z179" s="64">
        <v>133.4</v>
      </c>
      <c r="AA179" s="64">
        <v>141.1</v>
      </c>
      <c r="AB179" s="64">
        <v>127.8</v>
      </c>
      <c r="AC179" s="64">
        <v>131.9</v>
      </c>
      <c r="AD179" s="64">
        <v>139.80000000000001</v>
      </c>
    </row>
    <row r="180" spans="1:30">
      <c r="A180" s="64" t="s">
        <v>33</v>
      </c>
      <c r="B180" s="64">
        <v>2017</v>
      </c>
      <c r="C180" s="64" t="s">
        <v>46</v>
      </c>
      <c r="D180" s="64">
        <v>134.4</v>
      </c>
      <c r="E180" s="64">
        <v>142.6</v>
      </c>
      <c r="F180" s="64">
        <v>145.9</v>
      </c>
      <c r="G180" s="64">
        <v>139.5</v>
      </c>
      <c r="H180" s="64">
        <v>115.9</v>
      </c>
      <c r="I180" s="64">
        <v>135</v>
      </c>
      <c r="J180" s="64">
        <v>163.19999999999999</v>
      </c>
      <c r="K180" s="64">
        <v>119.8</v>
      </c>
      <c r="L180" s="64">
        <v>120.7</v>
      </c>
      <c r="M180" s="64">
        <v>139.69999999999999</v>
      </c>
      <c r="N180" s="64">
        <v>125.7</v>
      </c>
      <c r="O180" s="64">
        <v>146.30000000000001</v>
      </c>
      <c r="P180" s="64">
        <v>138.80000000000001</v>
      </c>
      <c r="Q180" s="64">
        <v>157</v>
      </c>
      <c r="R180" s="64">
        <v>135.6</v>
      </c>
      <c r="S180" s="64">
        <v>125.6</v>
      </c>
      <c r="T180" s="64">
        <v>134</v>
      </c>
      <c r="U180" s="64">
        <v>139.1</v>
      </c>
      <c r="V180" s="64">
        <v>126.8</v>
      </c>
      <c r="W180" s="64">
        <v>129.30000000000001</v>
      </c>
      <c r="X180" s="64">
        <v>128.19999999999999</v>
      </c>
      <c r="Y180" s="64">
        <v>115.3</v>
      </c>
      <c r="Z180" s="64">
        <v>125.6</v>
      </c>
      <c r="AA180" s="64">
        <v>136.69999999999999</v>
      </c>
      <c r="AB180" s="64">
        <v>124.6</v>
      </c>
      <c r="AC180" s="64">
        <v>125.1</v>
      </c>
      <c r="AD180" s="64">
        <v>134.1</v>
      </c>
    </row>
    <row r="181" spans="1:30">
      <c r="A181" s="64" t="s">
        <v>34</v>
      </c>
      <c r="B181" s="64">
        <v>2017</v>
      </c>
      <c r="C181" s="64" t="s">
        <v>46</v>
      </c>
      <c r="D181" s="64">
        <v>135.80000000000001</v>
      </c>
      <c r="E181" s="64">
        <v>143.30000000000001</v>
      </c>
      <c r="F181" s="64">
        <v>145.19999999999999</v>
      </c>
      <c r="G181" s="64">
        <v>141</v>
      </c>
      <c r="H181" s="64">
        <v>120.5</v>
      </c>
      <c r="I181" s="64">
        <v>141.5</v>
      </c>
      <c r="J181" s="64">
        <v>161.69999999999999</v>
      </c>
      <c r="K181" s="64">
        <v>129.1</v>
      </c>
      <c r="L181" s="64">
        <v>121.5</v>
      </c>
      <c r="M181" s="64">
        <v>137.1</v>
      </c>
      <c r="N181" s="64">
        <v>128.80000000000001</v>
      </c>
      <c r="O181" s="64">
        <v>149</v>
      </c>
      <c r="P181" s="64">
        <v>140.5</v>
      </c>
      <c r="Q181" s="64">
        <v>154.19999999999999</v>
      </c>
      <c r="R181" s="64">
        <v>143.1</v>
      </c>
      <c r="S181" s="64">
        <v>135.1</v>
      </c>
      <c r="T181" s="64">
        <v>142</v>
      </c>
      <c r="U181" s="64">
        <v>139.1</v>
      </c>
      <c r="V181" s="64">
        <v>136.6</v>
      </c>
      <c r="W181" s="64">
        <v>134.69999999999999</v>
      </c>
      <c r="X181" s="64">
        <v>133.1</v>
      </c>
      <c r="Y181" s="64">
        <v>118.5</v>
      </c>
      <c r="Z181" s="64">
        <v>129</v>
      </c>
      <c r="AA181" s="64">
        <v>138.5</v>
      </c>
      <c r="AB181" s="64">
        <v>126.5</v>
      </c>
      <c r="AC181" s="64">
        <v>128.6</v>
      </c>
      <c r="AD181" s="64">
        <v>137.19999999999999</v>
      </c>
    </row>
    <row r="182" spans="1:30">
      <c r="A182" s="64" t="s">
        <v>30</v>
      </c>
      <c r="B182" s="64">
        <v>2018</v>
      </c>
      <c r="C182" s="64" t="s">
        <v>31</v>
      </c>
      <c r="D182" s="64">
        <v>136.6</v>
      </c>
      <c r="E182" s="64">
        <v>144.4</v>
      </c>
      <c r="F182" s="64">
        <v>143.80000000000001</v>
      </c>
      <c r="G182" s="64">
        <v>142</v>
      </c>
      <c r="H182" s="64">
        <v>123.2</v>
      </c>
      <c r="I182" s="64">
        <v>147.9</v>
      </c>
      <c r="J182" s="64">
        <v>152.1</v>
      </c>
      <c r="K182" s="64">
        <v>131.80000000000001</v>
      </c>
      <c r="L182" s="64">
        <v>119.5</v>
      </c>
      <c r="M182" s="64">
        <v>136</v>
      </c>
      <c r="N182" s="64">
        <v>131.19999999999999</v>
      </c>
      <c r="O182" s="64">
        <v>151.80000000000001</v>
      </c>
      <c r="P182" s="64">
        <v>140.4</v>
      </c>
      <c r="Q182" s="64">
        <v>153.6</v>
      </c>
      <c r="R182" s="64">
        <v>148.30000000000001</v>
      </c>
      <c r="S182" s="64">
        <v>142.30000000000001</v>
      </c>
      <c r="T182" s="64">
        <v>147.5</v>
      </c>
      <c r="U182" s="64">
        <v>140.4</v>
      </c>
      <c r="V182" s="64">
        <v>142.30000000000001</v>
      </c>
      <c r="W182" s="64">
        <v>139.80000000000001</v>
      </c>
      <c r="X182" s="64">
        <v>136</v>
      </c>
      <c r="Y182" s="64">
        <v>122.7</v>
      </c>
      <c r="Z182" s="64">
        <v>134.30000000000001</v>
      </c>
      <c r="AA182" s="64">
        <v>141.6</v>
      </c>
      <c r="AB182" s="64">
        <v>128.6</v>
      </c>
      <c r="AC182" s="64">
        <v>132.30000000000001</v>
      </c>
      <c r="AD182" s="64">
        <v>139.30000000000001</v>
      </c>
    </row>
    <row r="183" spans="1:30">
      <c r="A183" s="64" t="s">
        <v>33</v>
      </c>
      <c r="B183" s="64">
        <v>2018</v>
      </c>
      <c r="C183" s="64" t="s">
        <v>31</v>
      </c>
      <c r="D183" s="64">
        <v>134.6</v>
      </c>
      <c r="E183" s="64">
        <v>143.69999999999999</v>
      </c>
      <c r="F183" s="64">
        <v>143.6</v>
      </c>
      <c r="G183" s="64">
        <v>139.6</v>
      </c>
      <c r="H183" s="64">
        <v>116.4</v>
      </c>
      <c r="I183" s="64">
        <v>133.80000000000001</v>
      </c>
      <c r="J183" s="64">
        <v>150.5</v>
      </c>
      <c r="K183" s="64">
        <v>118.4</v>
      </c>
      <c r="L183" s="64">
        <v>117.3</v>
      </c>
      <c r="M183" s="64">
        <v>140.5</v>
      </c>
      <c r="N183" s="64">
        <v>125.9</v>
      </c>
      <c r="O183" s="64">
        <v>146.80000000000001</v>
      </c>
      <c r="P183" s="64">
        <v>137.19999999999999</v>
      </c>
      <c r="Q183" s="64">
        <v>157.69999999999999</v>
      </c>
      <c r="R183" s="64">
        <v>136</v>
      </c>
      <c r="S183" s="64">
        <v>125.9</v>
      </c>
      <c r="T183" s="64">
        <v>134.4</v>
      </c>
      <c r="U183" s="64">
        <v>140.4</v>
      </c>
      <c r="V183" s="64">
        <v>127.3</v>
      </c>
      <c r="W183" s="64">
        <v>129.5</v>
      </c>
      <c r="X183" s="64">
        <v>129</v>
      </c>
      <c r="Y183" s="64">
        <v>116.3</v>
      </c>
      <c r="Z183" s="64">
        <v>126.2</v>
      </c>
      <c r="AA183" s="64">
        <v>137.1</v>
      </c>
      <c r="AB183" s="64">
        <v>125.5</v>
      </c>
      <c r="AC183" s="64">
        <v>125.8</v>
      </c>
      <c r="AD183" s="64">
        <v>134.1</v>
      </c>
    </row>
    <row r="184" spans="1:30">
      <c r="A184" s="64" t="s">
        <v>34</v>
      </c>
      <c r="B184" s="64">
        <v>2018</v>
      </c>
      <c r="C184" s="64" t="s">
        <v>31</v>
      </c>
      <c r="D184" s="64">
        <v>136</v>
      </c>
      <c r="E184" s="64">
        <v>144.19999999999999</v>
      </c>
      <c r="F184" s="64">
        <v>143.69999999999999</v>
      </c>
      <c r="G184" s="64">
        <v>141.1</v>
      </c>
      <c r="H184" s="64">
        <v>120.7</v>
      </c>
      <c r="I184" s="64">
        <v>141.30000000000001</v>
      </c>
      <c r="J184" s="64">
        <v>151.6</v>
      </c>
      <c r="K184" s="64">
        <v>127.3</v>
      </c>
      <c r="L184" s="64">
        <v>118.8</v>
      </c>
      <c r="M184" s="64">
        <v>137.5</v>
      </c>
      <c r="N184" s="64">
        <v>129</v>
      </c>
      <c r="O184" s="64">
        <v>149.5</v>
      </c>
      <c r="P184" s="64">
        <v>139.19999999999999</v>
      </c>
      <c r="Q184" s="64">
        <v>154.69999999999999</v>
      </c>
      <c r="R184" s="64">
        <v>143.5</v>
      </c>
      <c r="S184" s="64">
        <v>135.5</v>
      </c>
      <c r="T184" s="64">
        <v>142.30000000000001</v>
      </c>
      <c r="U184" s="64">
        <v>140.4</v>
      </c>
      <c r="V184" s="64">
        <v>136.6</v>
      </c>
      <c r="W184" s="64">
        <v>134.9</v>
      </c>
      <c r="X184" s="64">
        <v>133.30000000000001</v>
      </c>
      <c r="Y184" s="64">
        <v>119.3</v>
      </c>
      <c r="Z184" s="64">
        <v>129.69999999999999</v>
      </c>
      <c r="AA184" s="64">
        <v>139</v>
      </c>
      <c r="AB184" s="64">
        <v>127.3</v>
      </c>
      <c r="AC184" s="64">
        <v>129.1</v>
      </c>
      <c r="AD184" s="64">
        <v>136.9</v>
      </c>
    </row>
    <row r="185" spans="1:30">
      <c r="A185" s="64" t="s">
        <v>30</v>
      </c>
      <c r="B185" s="64">
        <v>2018</v>
      </c>
      <c r="C185" s="64" t="s">
        <v>35</v>
      </c>
      <c r="D185" s="64">
        <v>136.4</v>
      </c>
      <c r="E185" s="64">
        <v>143.69999999999999</v>
      </c>
      <c r="F185" s="64">
        <v>140.6</v>
      </c>
      <c r="G185" s="64">
        <v>141.5</v>
      </c>
      <c r="H185" s="64">
        <v>122.9</v>
      </c>
      <c r="I185" s="64">
        <v>149.4</v>
      </c>
      <c r="J185" s="64">
        <v>142.4</v>
      </c>
      <c r="K185" s="64">
        <v>130.19999999999999</v>
      </c>
      <c r="L185" s="64">
        <v>117.9</v>
      </c>
      <c r="M185" s="64">
        <v>135.6</v>
      </c>
      <c r="N185" s="64">
        <v>130.5</v>
      </c>
      <c r="O185" s="64">
        <v>151.69999999999999</v>
      </c>
      <c r="P185" s="64">
        <v>138.69999999999999</v>
      </c>
      <c r="Q185" s="64">
        <v>153.30000000000001</v>
      </c>
      <c r="R185" s="64">
        <v>148.69999999999999</v>
      </c>
      <c r="S185" s="64">
        <v>142.4</v>
      </c>
      <c r="T185" s="64">
        <v>147.80000000000001</v>
      </c>
      <c r="U185" s="64">
        <v>141.30000000000001</v>
      </c>
      <c r="V185" s="64">
        <v>142.4</v>
      </c>
      <c r="W185" s="64">
        <v>139.9</v>
      </c>
      <c r="X185" s="64">
        <v>136.19999999999999</v>
      </c>
      <c r="Y185" s="64">
        <v>123.3</v>
      </c>
      <c r="Z185" s="64">
        <v>134.30000000000001</v>
      </c>
      <c r="AA185" s="64">
        <v>141.5</v>
      </c>
      <c r="AB185" s="64">
        <v>128.80000000000001</v>
      </c>
      <c r="AC185" s="64">
        <v>132.5</v>
      </c>
      <c r="AD185" s="64">
        <v>138.5</v>
      </c>
    </row>
    <row r="186" spans="1:30">
      <c r="A186" s="64" t="s">
        <v>33</v>
      </c>
      <c r="B186" s="64">
        <v>2018</v>
      </c>
      <c r="C186" s="64" t="s">
        <v>35</v>
      </c>
      <c r="D186" s="64">
        <v>134.80000000000001</v>
      </c>
      <c r="E186" s="64">
        <v>143</v>
      </c>
      <c r="F186" s="64">
        <v>139.9</v>
      </c>
      <c r="G186" s="64">
        <v>139.9</v>
      </c>
      <c r="H186" s="64">
        <v>116.2</v>
      </c>
      <c r="I186" s="64">
        <v>135.5</v>
      </c>
      <c r="J186" s="64">
        <v>136.9</v>
      </c>
      <c r="K186" s="64">
        <v>117</v>
      </c>
      <c r="L186" s="64">
        <v>115.4</v>
      </c>
      <c r="M186" s="64">
        <v>140.69999999999999</v>
      </c>
      <c r="N186" s="64">
        <v>125.9</v>
      </c>
      <c r="O186" s="64">
        <v>147.1</v>
      </c>
      <c r="P186" s="64">
        <v>135.6</v>
      </c>
      <c r="Q186" s="64">
        <v>159.30000000000001</v>
      </c>
      <c r="R186" s="64">
        <v>136.30000000000001</v>
      </c>
      <c r="S186" s="64">
        <v>126.1</v>
      </c>
      <c r="T186" s="64">
        <v>134.69999999999999</v>
      </c>
      <c r="U186" s="64">
        <v>141.30000000000001</v>
      </c>
      <c r="V186" s="64">
        <v>127.3</v>
      </c>
      <c r="W186" s="64">
        <v>129.9</v>
      </c>
      <c r="X186" s="64">
        <v>129.80000000000001</v>
      </c>
      <c r="Y186" s="64">
        <v>117.4</v>
      </c>
      <c r="Z186" s="64">
        <v>126.5</v>
      </c>
      <c r="AA186" s="64">
        <v>137.19999999999999</v>
      </c>
      <c r="AB186" s="64">
        <v>126.2</v>
      </c>
      <c r="AC186" s="64">
        <v>126.5</v>
      </c>
      <c r="AD186" s="64">
        <v>134</v>
      </c>
    </row>
    <row r="187" spans="1:30">
      <c r="A187" s="64" t="s">
        <v>34</v>
      </c>
      <c r="B187" s="64">
        <v>2018</v>
      </c>
      <c r="C187" s="64" t="s">
        <v>35</v>
      </c>
      <c r="D187" s="64">
        <v>135.9</v>
      </c>
      <c r="E187" s="64">
        <v>143.5</v>
      </c>
      <c r="F187" s="64">
        <v>140.30000000000001</v>
      </c>
      <c r="G187" s="64">
        <v>140.9</v>
      </c>
      <c r="H187" s="64">
        <v>120.4</v>
      </c>
      <c r="I187" s="64">
        <v>142.9</v>
      </c>
      <c r="J187" s="64">
        <v>140.5</v>
      </c>
      <c r="K187" s="64">
        <v>125.8</v>
      </c>
      <c r="L187" s="64">
        <v>117.1</v>
      </c>
      <c r="M187" s="64">
        <v>137.30000000000001</v>
      </c>
      <c r="N187" s="64">
        <v>128.6</v>
      </c>
      <c r="O187" s="64">
        <v>149.6</v>
      </c>
      <c r="P187" s="64">
        <v>137.6</v>
      </c>
      <c r="Q187" s="64">
        <v>154.9</v>
      </c>
      <c r="R187" s="64">
        <v>143.80000000000001</v>
      </c>
      <c r="S187" s="64">
        <v>135.6</v>
      </c>
      <c r="T187" s="64">
        <v>142.6</v>
      </c>
      <c r="U187" s="64">
        <v>141.30000000000001</v>
      </c>
      <c r="V187" s="64">
        <v>136.69999999999999</v>
      </c>
      <c r="W187" s="64">
        <v>135.19999999999999</v>
      </c>
      <c r="X187" s="64">
        <v>133.80000000000001</v>
      </c>
      <c r="Y187" s="64">
        <v>120.2</v>
      </c>
      <c r="Z187" s="64">
        <v>129.9</v>
      </c>
      <c r="AA187" s="64">
        <v>139</v>
      </c>
      <c r="AB187" s="64">
        <v>127.7</v>
      </c>
      <c r="AC187" s="64">
        <v>129.6</v>
      </c>
      <c r="AD187" s="64">
        <v>136.4</v>
      </c>
    </row>
    <row r="188" spans="1:30">
      <c r="A188" s="64" t="s">
        <v>30</v>
      </c>
      <c r="B188" s="64">
        <v>2018</v>
      </c>
      <c r="C188" s="64" t="s">
        <v>36</v>
      </c>
      <c r="D188" s="64">
        <v>136.80000000000001</v>
      </c>
      <c r="E188" s="64">
        <v>143.80000000000001</v>
      </c>
      <c r="F188" s="64">
        <v>140</v>
      </c>
      <c r="G188" s="64">
        <v>142</v>
      </c>
      <c r="H188" s="64">
        <v>123.2</v>
      </c>
      <c r="I188" s="64">
        <v>152.9</v>
      </c>
      <c r="J188" s="64">
        <v>138</v>
      </c>
      <c r="K188" s="64">
        <v>129.30000000000001</v>
      </c>
      <c r="L188" s="64">
        <v>117.1</v>
      </c>
      <c r="M188" s="64">
        <v>136.30000000000001</v>
      </c>
      <c r="N188" s="64">
        <v>131.19999999999999</v>
      </c>
      <c r="O188" s="64">
        <v>152.80000000000001</v>
      </c>
      <c r="P188" s="64">
        <v>138.6</v>
      </c>
      <c r="Q188" s="64">
        <v>155.1</v>
      </c>
      <c r="R188" s="64">
        <v>149.19999999999999</v>
      </c>
      <c r="S188" s="64">
        <v>143</v>
      </c>
      <c r="T188" s="64">
        <v>148.30000000000001</v>
      </c>
      <c r="U188" s="64">
        <v>142</v>
      </c>
      <c r="V188" s="64">
        <v>142.6</v>
      </c>
      <c r="W188" s="64">
        <v>139.9</v>
      </c>
      <c r="X188" s="64">
        <v>136.69999999999999</v>
      </c>
      <c r="Y188" s="64">
        <v>124.6</v>
      </c>
      <c r="Z188" s="64">
        <v>135.1</v>
      </c>
      <c r="AA188" s="64">
        <v>142.69999999999999</v>
      </c>
      <c r="AB188" s="64">
        <v>129.30000000000001</v>
      </c>
      <c r="AC188" s="64">
        <v>133.30000000000001</v>
      </c>
      <c r="AD188" s="64">
        <v>138.69999999999999</v>
      </c>
    </row>
    <row r="189" spans="1:30">
      <c r="A189" s="64" t="s">
        <v>33</v>
      </c>
      <c r="B189" s="64">
        <v>2018</v>
      </c>
      <c r="C189" s="64" t="s">
        <v>36</v>
      </c>
      <c r="D189" s="64">
        <v>135</v>
      </c>
      <c r="E189" s="64">
        <v>143.1</v>
      </c>
      <c r="F189" s="64">
        <v>135.5</v>
      </c>
      <c r="G189" s="64">
        <v>139.9</v>
      </c>
      <c r="H189" s="64">
        <v>116.5</v>
      </c>
      <c r="I189" s="64">
        <v>138.5</v>
      </c>
      <c r="J189" s="64">
        <v>128</v>
      </c>
      <c r="K189" s="64">
        <v>115.5</v>
      </c>
      <c r="L189" s="64">
        <v>114.2</v>
      </c>
      <c r="M189" s="64">
        <v>140.69999999999999</v>
      </c>
      <c r="N189" s="64">
        <v>126.2</v>
      </c>
      <c r="O189" s="64">
        <v>147.6</v>
      </c>
      <c r="P189" s="64">
        <v>134.80000000000001</v>
      </c>
      <c r="Q189" s="64">
        <v>159.69999999999999</v>
      </c>
      <c r="R189" s="64">
        <v>136.69999999999999</v>
      </c>
      <c r="S189" s="64">
        <v>126.7</v>
      </c>
      <c r="T189" s="64">
        <v>135.19999999999999</v>
      </c>
      <c r="U189" s="64">
        <v>142</v>
      </c>
      <c r="V189" s="64">
        <v>126.4</v>
      </c>
      <c r="W189" s="64">
        <v>130.80000000000001</v>
      </c>
      <c r="X189" s="64">
        <v>130.5</v>
      </c>
      <c r="Y189" s="64">
        <v>117.8</v>
      </c>
      <c r="Z189" s="64">
        <v>126.8</v>
      </c>
      <c r="AA189" s="64">
        <v>137.80000000000001</v>
      </c>
      <c r="AB189" s="64">
        <v>126.7</v>
      </c>
      <c r="AC189" s="64">
        <v>127.1</v>
      </c>
      <c r="AD189" s="64">
        <v>134</v>
      </c>
    </row>
    <row r="190" spans="1:30">
      <c r="A190" s="64" t="s">
        <v>34</v>
      </c>
      <c r="B190" s="64">
        <v>2018</v>
      </c>
      <c r="C190" s="64" t="s">
        <v>36</v>
      </c>
      <c r="D190" s="64">
        <v>136.19999999999999</v>
      </c>
      <c r="E190" s="64">
        <v>143.6</v>
      </c>
      <c r="F190" s="64">
        <v>138.30000000000001</v>
      </c>
      <c r="G190" s="64">
        <v>141.19999999999999</v>
      </c>
      <c r="H190" s="64">
        <v>120.7</v>
      </c>
      <c r="I190" s="64">
        <v>146.19999999999999</v>
      </c>
      <c r="J190" s="64">
        <v>134.6</v>
      </c>
      <c r="K190" s="64">
        <v>124.6</v>
      </c>
      <c r="L190" s="64">
        <v>116.1</v>
      </c>
      <c r="M190" s="64">
        <v>137.80000000000001</v>
      </c>
      <c r="N190" s="64">
        <v>129.1</v>
      </c>
      <c r="O190" s="64">
        <v>150.4</v>
      </c>
      <c r="P190" s="64">
        <v>137.19999999999999</v>
      </c>
      <c r="Q190" s="64">
        <v>156.30000000000001</v>
      </c>
      <c r="R190" s="64">
        <v>144.30000000000001</v>
      </c>
      <c r="S190" s="64">
        <v>136.19999999999999</v>
      </c>
      <c r="T190" s="64">
        <v>143.1</v>
      </c>
      <c r="U190" s="64">
        <v>142</v>
      </c>
      <c r="V190" s="64">
        <v>136.5</v>
      </c>
      <c r="W190" s="64">
        <v>135.6</v>
      </c>
      <c r="X190" s="64">
        <v>134.30000000000001</v>
      </c>
      <c r="Y190" s="64">
        <v>121</v>
      </c>
      <c r="Z190" s="64">
        <v>130.4</v>
      </c>
      <c r="AA190" s="64">
        <v>139.80000000000001</v>
      </c>
      <c r="AB190" s="64">
        <v>128.19999999999999</v>
      </c>
      <c r="AC190" s="64">
        <v>130.30000000000001</v>
      </c>
      <c r="AD190" s="64">
        <v>136.5</v>
      </c>
    </row>
    <row r="191" spans="1:30">
      <c r="A191" s="64" t="s">
        <v>30</v>
      </c>
      <c r="B191" s="64">
        <v>2018</v>
      </c>
      <c r="C191" s="64" t="s">
        <v>37</v>
      </c>
      <c r="D191" s="64">
        <v>137.1</v>
      </c>
      <c r="E191" s="64">
        <v>144.5</v>
      </c>
      <c r="F191" s="64">
        <v>135.9</v>
      </c>
      <c r="G191" s="64">
        <v>142.4</v>
      </c>
      <c r="H191" s="64">
        <v>123.5</v>
      </c>
      <c r="I191" s="64">
        <v>156.4</v>
      </c>
      <c r="J191" s="64">
        <v>135.1</v>
      </c>
      <c r="K191" s="64">
        <v>128.4</v>
      </c>
      <c r="L191" s="64">
        <v>115.2</v>
      </c>
      <c r="M191" s="64">
        <v>137.19999999999999</v>
      </c>
      <c r="N191" s="64">
        <v>131.9</v>
      </c>
      <c r="O191" s="64">
        <v>153.80000000000001</v>
      </c>
      <c r="P191" s="64">
        <v>138.6</v>
      </c>
      <c r="Q191" s="64">
        <v>156.1</v>
      </c>
      <c r="R191" s="64">
        <v>150.1</v>
      </c>
      <c r="S191" s="64">
        <v>143.30000000000001</v>
      </c>
      <c r="T191" s="64">
        <v>149.1</v>
      </c>
      <c r="U191" s="64">
        <v>142.9</v>
      </c>
      <c r="V191" s="64">
        <v>143.80000000000001</v>
      </c>
      <c r="W191" s="64">
        <v>140.9</v>
      </c>
      <c r="X191" s="64">
        <v>137.6</v>
      </c>
      <c r="Y191" s="64">
        <v>125.3</v>
      </c>
      <c r="Z191" s="64">
        <v>136</v>
      </c>
      <c r="AA191" s="64">
        <v>143.69999999999999</v>
      </c>
      <c r="AB191" s="64">
        <v>130.4</v>
      </c>
      <c r="AC191" s="64">
        <v>134.19999999999999</v>
      </c>
      <c r="AD191" s="64">
        <v>139.1</v>
      </c>
    </row>
    <row r="192" spans="1:30">
      <c r="A192" s="64" t="s">
        <v>33</v>
      </c>
      <c r="B192" s="64">
        <v>2018</v>
      </c>
      <c r="C192" s="64" t="s">
        <v>37</v>
      </c>
      <c r="D192" s="64">
        <v>135</v>
      </c>
      <c r="E192" s="64">
        <v>144.30000000000001</v>
      </c>
      <c r="F192" s="64">
        <v>130.80000000000001</v>
      </c>
      <c r="G192" s="64">
        <v>140.30000000000001</v>
      </c>
      <c r="H192" s="64">
        <v>116.6</v>
      </c>
      <c r="I192" s="64">
        <v>150.1</v>
      </c>
      <c r="J192" s="64">
        <v>127.6</v>
      </c>
      <c r="K192" s="64">
        <v>114</v>
      </c>
      <c r="L192" s="64">
        <v>110.6</v>
      </c>
      <c r="M192" s="64">
        <v>140.19999999999999</v>
      </c>
      <c r="N192" s="64">
        <v>126.5</v>
      </c>
      <c r="O192" s="64">
        <v>148.30000000000001</v>
      </c>
      <c r="P192" s="64">
        <v>135.69999999999999</v>
      </c>
      <c r="Q192" s="64">
        <v>159.19999999999999</v>
      </c>
      <c r="R192" s="64">
        <v>137.80000000000001</v>
      </c>
      <c r="S192" s="64">
        <v>127.4</v>
      </c>
      <c r="T192" s="64">
        <v>136.19999999999999</v>
      </c>
      <c r="U192" s="64">
        <v>142.9</v>
      </c>
      <c r="V192" s="64">
        <v>124.6</v>
      </c>
      <c r="W192" s="64">
        <v>131.80000000000001</v>
      </c>
      <c r="X192" s="64">
        <v>131.30000000000001</v>
      </c>
      <c r="Y192" s="64">
        <v>118.9</v>
      </c>
      <c r="Z192" s="64">
        <v>127.6</v>
      </c>
      <c r="AA192" s="64">
        <v>139.69999999999999</v>
      </c>
      <c r="AB192" s="64">
        <v>127.6</v>
      </c>
      <c r="AC192" s="64">
        <v>128.19999999999999</v>
      </c>
      <c r="AD192" s="64">
        <v>134.80000000000001</v>
      </c>
    </row>
    <row r="193" spans="1:30">
      <c r="A193" s="64" t="s">
        <v>34</v>
      </c>
      <c r="B193" s="64">
        <v>2018</v>
      </c>
      <c r="C193" s="64" t="s">
        <v>37</v>
      </c>
      <c r="D193" s="64">
        <v>136.4</v>
      </c>
      <c r="E193" s="64">
        <v>144.4</v>
      </c>
      <c r="F193" s="64">
        <v>133.9</v>
      </c>
      <c r="G193" s="64">
        <v>141.6</v>
      </c>
      <c r="H193" s="64">
        <v>121</v>
      </c>
      <c r="I193" s="64">
        <v>153.5</v>
      </c>
      <c r="J193" s="64">
        <v>132.6</v>
      </c>
      <c r="K193" s="64">
        <v>123.5</v>
      </c>
      <c r="L193" s="64">
        <v>113.7</v>
      </c>
      <c r="M193" s="64">
        <v>138.19999999999999</v>
      </c>
      <c r="N193" s="64">
        <v>129.6</v>
      </c>
      <c r="O193" s="64">
        <v>151.19999999999999</v>
      </c>
      <c r="P193" s="64">
        <v>137.5</v>
      </c>
      <c r="Q193" s="64">
        <v>156.9</v>
      </c>
      <c r="R193" s="64">
        <v>145.30000000000001</v>
      </c>
      <c r="S193" s="64">
        <v>136.69999999999999</v>
      </c>
      <c r="T193" s="64">
        <v>144</v>
      </c>
      <c r="U193" s="64">
        <v>142.9</v>
      </c>
      <c r="V193" s="64">
        <v>136.5</v>
      </c>
      <c r="W193" s="64">
        <v>136.6</v>
      </c>
      <c r="X193" s="64">
        <v>135.19999999999999</v>
      </c>
      <c r="Y193" s="64">
        <v>121.9</v>
      </c>
      <c r="Z193" s="64">
        <v>131.30000000000001</v>
      </c>
      <c r="AA193" s="64">
        <v>141.4</v>
      </c>
      <c r="AB193" s="64">
        <v>129.19999999999999</v>
      </c>
      <c r="AC193" s="64">
        <v>131.30000000000001</v>
      </c>
      <c r="AD193" s="64">
        <v>137.1</v>
      </c>
    </row>
    <row r="194" spans="1:30">
      <c r="A194" s="64" t="s">
        <v>30</v>
      </c>
      <c r="B194" s="64">
        <v>2018</v>
      </c>
      <c r="C194" s="64" t="s">
        <v>38</v>
      </c>
      <c r="D194" s="64">
        <v>137.4</v>
      </c>
      <c r="E194" s="64">
        <v>145.69999999999999</v>
      </c>
      <c r="F194" s="64">
        <v>135.5</v>
      </c>
      <c r="G194" s="64">
        <v>142.9</v>
      </c>
      <c r="H194" s="64">
        <v>123.6</v>
      </c>
      <c r="I194" s="64">
        <v>157.5</v>
      </c>
      <c r="J194" s="64">
        <v>137.80000000000001</v>
      </c>
      <c r="K194" s="64">
        <v>127.2</v>
      </c>
      <c r="L194" s="64">
        <v>111.8</v>
      </c>
      <c r="M194" s="64">
        <v>137.4</v>
      </c>
      <c r="N194" s="64">
        <v>132.19999999999999</v>
      </c>
      <c r="O194" s="64">
        <v>154.30000000000001</v>
      </c>
      <c r="P194" s="64">
        <v>139.1</v>
      </c>
      <c r="Q194" s="64">
        <v>157</v>
      </c>
      <c r="R194" s="64">
        <v>150.80000000000001</v>
      </c>
      <c r="S194" s="64">
        <v>144.1</v>
      </c>
      <c r="T194" s="64">
        <v>149.80000000000001</v>
      </c>
      <c r="U194" s="64">
        <v>143.19999999999999</v>
      </c>
      <c r="V194" s="64">
        <v>144.30000000000001</v>
      </c>
      <c r="W194" s="64">
        <v>141.80000000000001</v>
      </c>
      <c r="X194" s="64">
        <v>138.4</v>
      </c>
      <c r="Y194" s="64">
        <v>126.4</v>
      </c>
      <c r="Z194" s="64">
        <v>136.80000000000001</v>
      </c>
      <c r="AA194" s="64">
        <v>144.4</v>
      </c>
      <c r="AB194" s="64">
        <v>131.19999999999999</v>
      </c>
      <c r="AC194" s="64">
        <v>135.1</v>
      </c>
      <c r="AD194" s="64">
        <v>139.80000000000001</v>
      </c>
    </row>
    <row r="195" spans="1:30">
      <c r="A195" s="64" t="s">
        <v>33</v>
      </c>
      <c r="B195" s="64">
        <v>2018</v>
      </c>
      <c r="C195" s="64" t="s">
        <v>38</v>
      </c>
      <c r="D195" s="64">
        <v>135</v>
      </c>
      <c r="E195" s="64">
        <v>148.19999999999999</v>
      </c>
      <c r="F195" s="64">
        <v>130.5</v>
      </c>
      <c r="G195" s="64">
        <v>140.69999999999999</v>
      </c>
      <c r="H195" s="64">
        <v>116.4</v>
      </c>
      <c r="I195" s="64">
        <v>151.30000000000001</v>
      </c>
      <c r="J195" s="64">
        <v>131.4</v>
      </c>
      <c r="K195" s="64">
        <v>112.8</v>
      </c>
      <c r="L195" s="64">
        <v>105.3</v>
      </c>
      <c r="M195" s="64">
        <v>139.6</v>
      </c>
      <c r="N195" s="64">
        <v>126.6</v>
      </c>
      <c r="O195" s="64">
        <v>148.69999999999999</v>
      </c>
      <c r="P195" s="64">
        <v>136.4</v>
      </c>
      <c r="Q195" s="64">
        <v>160.30000000000001</v>
      </c>
      <c r="R195" s="64">
        <v>138.6</v>
      </c>
      <c r="S195" s="64">
        <v>127.9</v>
      </c>
      <c r="T195" s="64">
        <v>137</v>
      </c>
      <c r="U195" s="64">
        <v>143.19999999999999</v>
      </c>
      <c r="V195" s="64">
        <v>124.7</v>
      </c>
      <c r="W195" s="64">
        <v>132.5</v>
      </c>
      <c r="X195" s="64">
        <v>132</v>
      </c>
      <c r="Y195" s="64">
        <v>119.8</v>
      </c>
      <c r="Z195" s="64">
        <v>128</v>
      </c>
      <c r="AA195" s="64">
        <v>140.4</v>
      </c>
      <c r="AB195" s="64">
        <v>128.1</v>
      </c>
      <c r="AC195" s="64">
        <v>128.9</v>
      </c>
      <c r="AD195" s="64">
        <v>135.4</v>
      </c>
    </row>
    <row r="196" spans="1:30">
      <c r="A196" s="64" t="s">
        <v>34</v>
      </c>
      <c r="B196" s="64">
        <v>2018</v>
      </c>
      <c r="C196" s="64" t="s">
        <v>38</v>
      </c>
      <c r="D196" s="64">
        <v>136.6</v>
      </c>
      <c r="E196" s="64">
        <v>146.6</v>
      </c>
      <c r="F196" s="64">
        <v>133.6</v>
      </c>
      <c r="G196" s="64">
        <v>142.1</v>
      </c>
      <c r="H196" s="64">
        <v>121</v>
      </c>
      <c r="I196" s="64">
        <v>154.6</v>
      </c>
      <c r="J196" s="64">
        <v>135.6</v>
      </c>
      <c r="K196" s="64">
        <v>122.3</v>
      </c>
      <c r="L196" s="64">
        <v>109.6</v>
      </c>
      <c r="M196" s="64">
        <v>138.1</v>
      </c>
      <c r="N196" s="64">
        <v>129.9</v>
      </c>
      <c r="O196" s="64">
        <v>151.69999999999999</v>
      </c>
      <c r="P196" s="64">
        <v>138.1</v>
      </c>
      <c r="Q196" s="64">
        <v>157.9</v>
      </c>
      <c r="R196" s="64">
        <v>146</v>
      </c>
      <c r="S196" s="64">
        <v>137.4</v>
      </c>
      <c r="T196" s="64">
        <v>144.69999999999999</v>
      </c>
      <c r="U196" s="64">
        <v>143.19999999999999</v>
      </c>
      <c r="V196" s="64">
        <v>136.9</v>
      </c>
      <c r="W196" s="64">
        <v>137.4</v>
      </c>
      <c r="X196" s="64">
        <v>136</v>
      </c>
      <c r="Y196" s="64">
        <v>122.9</v>
      </c>
      <c r="Z196" s="64">
        <v>131.80000000000001</v>
      </c>
      <c r="AA196" s="64">
        <v>142.1</v>
      </c>
      <c r="AB196" s="64">
        <v>129.9</v>
      </c>
      <c r="AC196" s="64">
        <v>132.1</v>
      </c>
      <c r="AD196" s="64">
        <v>137.80000000000001</v>
      </c>
    </row>
    <row r="197" spans="1:30">
      <c r="A197" s="64" t="s">
        <v>30</v>
      </c>
      <c r="B197" s="64">
        <v>2018</v>
      </c>
      <c r="C197" s="64" t="s">
        <v>39</v>
      </c>
      <c r="D197" s="64">
        <v>137.6</v>
      </c>
      <c r="E197" s="64">
        <v>148.1</v>
      </c>
      <c r="F197" s="64">
        <v>136.69999999999999</v>
      </c>
      <c r="G197" s="64">
        <v>143.19999999999999</v>
      </c>
      <c r="H197" s="64">
        <v>124</v>
      </c>
      <c r="I197" s="64">
        <v>154.1</v>
      </c>
      <c r="J197" s="64">
        <v>143.5</v>
      </c>
      <c r="K197" s="64">
        <v>126</v>
      </c>
      <c r="L197" s="64">
        <v>112.4</v>
      </c>
      <c r="M197" s="64">
        <v>137.6</v>
      </c>
      <c r="N197" s="64">
        <v>132.80000000000001</v>
      </c>
      <c r="O197" s="64">
        <v>154.30000000000001</v>
      </c>
      <c r="P197" s="64">
        <v>140</v>
      </c>
      <c r="Q197" s="64">
        <v>157.30000000000001</v>
      </c>
      <c r="R197" s="64">
        <v>151.30000000000001</v>
      </c>
      <c r="S197" s="64">
        <v>144.69999999999999</v>
      </c>
      <c r="T197" s="64">
        <v>150.30000000000001</v>
      </c>
      <c r="U197" s="64">
        <v>142.5</v>
      </c>
      <c r="V197" s="64">
        <v>145.1</v>
      </c>
      <c r="W197" s="64">
        <v>142.19999999999999</v>
      </c>
      <c r="X197" s="64">
        <v>138.4</v>
      </c>
      <c r="Y197" s="64">
        <v>127.4</v>
      </c>
      <c r="Z197" s="64">
        <v>137.80000000000001</v>
      </c>
      <c r="AA197" s="64">
        <v>145.1</v>
      </c>
      <c r="AB197" s="64">
        <v>131.4</v>
      </c>
      <c r="AC197" s="64">
        <v>135.6</v>
      </c>
      <c r="AD197" s="64">
        <v>140.5</v>
      </c>
    </row>
    <row r="198" spans="1:30">
      <c r="A198" s="64" t="s">
        <v>33</v>
      </c>
      <c r="B198" s="64">
        <v>2018</v>
      </c>
      <c r="C198" s="64" t="s">
        <v>39</v>
      </c>
      <c r="D198" s="64">
        <v>135.30000000000001</v>
      </c>
      <c r="E198" s="64">
        <v>149.69999999999999</v>
      </c>
      <c r="F198" s="64">
        <v>133.9</v>
      </c>
      <c r="G198" s="64">
        <v>140.80000000000001</v>
      </c>
      <c r="H198" s="64">
        <v>116.6</v>
      </c>
      <c r="I198" s="64">
        <v>152.19999999999999</v>
      </c>
      <c r="J198" s="64">
        <v>144</v>
      </c>
      <c r="K198" s="64">
        <v>112.3</v>
      </c>
      <c r="L198" s="64">
        <v>108.4</v>
      </c>
      <c r="M198" s="64">
        <v>140</v>
      </c>
      <c r="N198" s="64">
        <v>126.7</v>
      </c>
      <c r="O198" s="64">
        <v>149</v>
      </c>
      <c r="P198" s="64">
        <v>138.4</v>
      </c>
      <c r="Q198" s="64">
        <v>161</v>
      </c>
      <c r="R198" s="64">
        <v>138.9</v>
      </c>
      <c r="S198" s="64">
        <v>128.69999999999999</v>
      </c>
      <c r="T198" s="64">
        <v>137.4</v>
      </c>
      <c r="U198" s="64">
        <v>142.5</v>
      </c>
      <c r="V198" s="64">
        <v>126.5</v>
      </c>
      <c r="W198" s="64">
        <v>133.1</v>
      </c>
      <c r="X198" s="64">
        <v>132.6</v>
      </c>
      <c r="Y198" s="64">
        <v>120.4</v>
      </c>
      <c r="Z198" s="64">
        <v>128.5</v>
      </c>
      <c r="AA198" s="64">
        <v>141.19999999999999</v>
      </c>
      <c r="AB198" s="64">
        <v>128.19999999999999</v>
      </c>
      <c r="AC198" s="64">
        <v>129.5</v>
      </c>
      <c r="AD198" s="64">
        <v>136.19999999999999</v>
      </c>
    </row>
    <row r="199" spans="1:30">
      <c r="A199" s="64" t="s">
        <v>34</v>
      </c>
      <c r="B199" s="64">
        <v>2018</v>
      </c>
      <c r="C199" s="64" t="s">
        <v>39</v>
      </c>
      <c r="D199" s="64">
        <v>136.9</v>
      </c>
      <c r="E199" s="64">
        <v>148.69999999999999</v>
      </c>
      <c r="F199" s="64">
        <v>135.6</v>
      </c>
      <c r="G199" s="64">
        <v>142.30000000000001</v>
      </c>
      <c r="H199" s="64">
        <v>121.3</v>
      </c>
      <c r="I199" s="64">
        <v>153.19999999999999</v>
      </c>
      <c r="J199" s="64">
        <v>143.69999999999999</v>
      </c>
      <c r="K199" s="64">
        <v>121.4</v>
      </c>
      <c r="L199" s="64">
        <v>111.1</v>
      </c>
      <c r="M199" s="64">
        <v>138.4</v>
      </c>
      <c r="N199" s="64">
        <v>130.30000000000001</v>
      </c>
      <c r="O199" s="64">
        <v>151.80000000000001</v>
      </c>
      <c r="P199" s="64">
        <v>139.4</v>
      </c>
      <c r="Q199" s="64">
        <v>158.30000000000001</v>
      </c>
      <c r="R199" s="64">
        <v>146.4</v>
      </c>
      <c r="S199" s="64">
        <v>138.1</v>
      </c>
      <c r="T199" s="64">
        <v>145.19999999999999</v>
      </c>
      <c r="U199" s="64">
        <v>142.5</v>
      </c>
      <c r="V199" s="64">
        <v>138.1</v>
      </c>
      <c r="W199" s="64">
        <v>137.9</v>
      </c>
      <c r="X199" s="64">
        <v>136.19999999999999</v>
      </c>
      <c r="Y199" s="64">
        <v>123.7</v>
      </c>
      <c r="Z199" s="64">
        <v>132.6</v>
      </c>
      <c r="AA199" s="64">
        <v>142.80000000000001</v>
      </c>
      <c r="AB199" s="64">
        <v>130.1</v>
      </c>
      <c r="AC199" s="64">
        <v>132.6</v>
      </c>
      <c r="AD199" s="64">
        <v>138.5</v>
      </c>
    </row>
    <row r="200" spans="1:30">
      <c r="A200" s="64" t="s">
        <v>30</v>
      </c>
      <c r="B200" s="64">
        <v>2018</v>
      </c>
      <c r="C200" s="64" t="s">
        <v>40</v>
      </c>
      <c r="D200" s="64">
        <v>138.4</v>
      </c>
      <c r="E200" s="64">
        <v>149.30000000000001</v>
      </c>
      <c r="F200" s="64">
        <v>139.30000000000001</v>
      </c>
      <c r="G200" s="64">
        <v>143.4</v>
      </c>
      <c r="H200" s="64">
        <v>124.1</v>
      </c>
      <c r="I200" s="64">
        <v>153.30000000000001</v>
      </c>
      <c r="J200" s="64">
        <v>154.19999999999999</v>
      </c>
      <c r="K200" s="64">
        <v>126.4</v>
      </c>
      <c r="L200" s="64">
        <v>114.3</v>
      </c>
      <c r="M200" s="64">
        <v>138.19999999999999</v>
      </c>
      <c r="N200" s="64">
        <v>132.80000000000001</v>
      </c>
      <c r="O200" s="64">
        <v>154.80000000000001</v>
      </c>
      <c r="P200" s="64">
        <v>142</v>
      </c>
      <c r="Q200" s="64">
        <v>156.1</v>
      </c>
      <c r="R200" s="64">
        <v>151.5</v>
      </c>
      <c r="S200" s="64">
        <v>145.1</v>
      </c>
      <c r="T200" s="64">
        <v>150.6</v>
      </c>
      <c r="U200" s="64">
        <v>143.6</v>
      </c>
      <c r="V200" s="64">
        <v>146.80000000000001</v>
      </c>
      <c r="W200" s="64">
        <v>143.1</v>
      </c>
      <c r="X200" s="64">
        <v>139</v>
      </c>
      <c r="Y200" s="64">
        <v>127.5</v>
      </c>
      <c r="Z200" s="64">
        <v>138.4</v>
      </c>
      <c r="AA200" s="64">
        <v>145.80000000000001</v>
      </c>
      <c r="AB200" s="64">
        <v>131.4</v>
      </c>
      <c r="AC200" s="64">
        <v>136</v>
      </c>
      <c r="AD200" s="64">
        <v>141.80000000000001</v>
      </c>
    </row>
    <row r="201" spans="1:30">
      <c r="A201" s="64" t="s">
        <v>33</v>
      </c>
      <c r="B201" s="64">
        <v>2018</v>
      </c>
      <c r="C201" s="64" t="s">
        <v>40</v>
      </c>
      <c r="D201" s="64">
        <v>135.6</v>
      </c>
      <c r="E201" s="64">
        <v>148.6</v>
      </c>
      <c r="F201" s="64">
        <v>139.1</v>
      </c>
      <c r="G201" s="64">
        <v>141</v>
      </c>
      <c r="H201" s="64">
        <v>116.7</v>
      </c>
      <c r="I201" s="64">
        <v>149.69999999999999</v>
      </c>
      <c r="J201" s="64">
        <v>159.19999999999999</v>
      </c>
      <c r="K201" s="64">
        <v>112.6</v>
      </c>
      <c r="L201" s="64">
        <v>111.8</v>
      </c>
      <c r="M201" s="64">
        <v>140.30000000000001</v>
      </c>
      <c r="N201" s="64">
        <v>126.8</v>
      </c>
      <c r="O201" s="64">
        <v>149.4</v>
      </c>
      <c r="P201" s="64">
        <v>140.30000000000001</v>
      </c>
      <c r="Q201" s="64">
        <v>161.4</v>
      </c>
      <c r="R201" s="64">
        <v>139.6</v>
      </c>
      <c r="S201" s="64">
        <v>128.9</v>
      </c>
      <c r="T201" s="64">
        <v>137.9</v>
      </c>
      <c r="U201" s="64">
        <v>143.6</v>
      </c>
      <c r="V201" s="64">
        <v>128.1</v>
      </c>
      <c r="W201" s="64">
        <v>133.6</v>
      </c>
      <c r="X201" s="64">
        <v>133.6</v>
      </c>
      <c r="Y201" s="64">
        <v>120.1</v>
      </c>
      <c r="Z201" s="64">
        <v>129</v>
      </c>
      <c r="AA201" s="64">
        <v>144</v>
      </c>
      <c r="AB201" s="64">
        <v>128.19999999999999</v>
      </c>
      <c r="AC201" s="64">
        <v>130.19999999999999</v>
      </c>
      <c r="AD201" s="64">
        <v>137.5</v>
      </c>
    </row>
    <row r="202" spans="1:30">
      <c r="A202" s="64" t="s">
        <v>34</v>
      </c>
      <c r="B202" s="64">
        <v>2018</v>
      </c>
      <c r="C202" s="64" t="s">
        <v>40</v>
      </c>
      <c r="D202" s="64">
        <v>137.5</v>
      </c>
      <c r="E202" s="64">
        <v>149.1</v>
      </c>
      <c r="F202" s="64">
        <v>139.19999999999999</v>
      </c>
      <c r="G202" s="64">
        <v>142.5</v>
      </c>
      <c r="H202" s="64">
        <v>121.4</v>
      </c>
      <c r="I202" s="64">
        <v>151.6</v>
      </c>
      <c r="J202" s="64">
        <v>155.9</v>
      </c>
      <c r="K202" s="64">
        <v>121.7</v>
      </c>
      <c r="L202" s="64">
        <v>113.5</v>
      </c>
      <c r="M202" s="64">
        <v>138.9</v>
      </c>
      <c r="N202" s="64">
        <v>130.30000000000001</v>
      </c>
      <c r="O202" s="64">
        <v>152.30000000000001</v>
      </c>
      <c r="P202" s="64">
        <v>141.4</v>
      </c>
      <c r="Q202" s="64">
        <v>157.5</v>
      </c>
      <c r="R202" s="64">
        <v>146.80000000000001</v>
      </c>
      <c r="S202" s="64">
        <v>138.4</v>
      </c>
      <c r="T202" s="64">
        <v>145.6</v>
      </c>
      <c r="U202" s="64">
        <v>143.6</v>
      </c>
      <c r="V202" s="64">
        <v>139.69999999999999</v>
      </c>
      <c r="W202" s="64">
        <v>138.6</v>
      </c>
      <c r="X202" s="64">
        <v>137</v>
      </c>
      <c r="Y202" s="64">
        <v>123.6</v>
      </c>
      <c r="Z202" s="64">
        <v>133.1</v>
      </c>
      <c r="AA202" s="64">
        <v>144.69999999999999</v>
      </c>
      <c r="AB202" s="64">
        <v>130.1</v>
      </c>
      <c r="AC202" s="64">
        <v>133.19999999999999</v>
      </c>
      <c r="AD202" s="64">
        <v>139.80000000000001</v>
      </c>
    </row>
    <row r="203" spans="1:30">
      <c r="A203" s="64" t="s">
        <v>30</v>
      </c>
      <c r="B203" s="64">
        <v>2018</v>
      </c>
      <c r="C203" s="64" t="s">
        <v>41</v>
      </c>
      <c r="D203" s="64">
        <v>139.19999999999999</v>
      </c>
      <c r="E203" s="64">
        <v>148.80000000000001</v>
      </c>
      <c r="F203" s="64">
        <v>139.1</v>
      </c>
      <c r="G203" s="64">
        <v>143.5</v>
      </c>
      <c r="H203" s="64">
        <v>125</v>
      </c>
      <c r="I203" s="64">
        <v>154.4</v>
      </c>
      <c r="J203" s="64">
        <v>156.30000000000001</v>
      </c>
      <c r="K203" s="64">
        <v>126.8</v>
      </c>
      <c r="L203" s="64">
        <v>115.4</v>
      </c>
      <c r="M203" s="64">
        <v>138.6</v>
      </c>
      <c r="N203" s="64">
        <v>133.80000000000001</v>
      </c>
      <c r="O203" s="64">
        <v>155.19999999999999</v>
      </c>
      <c r="P203" s="64">
        <v>142.69999999999999</v>
      </c>
      <c r="Q203" s="64">
        <v>156.4</v>
      </c>
      <c r="R203" s="64">
        <v>152.1</v>
      </c>
      <c r="S203" s="64">
        <v>145.80000000000001</v>
      </c>
      <c r="T203" s="64">
        <v>151.30000000000001</v>
      </c>
      <c r="U203" s="64">
        <v>144.6</v>
      </c>
      <c r="V203" s="64">
        <v>147.69999999999999</v>
      </c>
      <c r="W203" s="64">
        <v>143.80000000000001</v>
      </c>
      <c r="X203" s="64">
        <v>139.4</v>
      </c>
      <c r="Y203" s="64">
        <v>128.30000000000001</v>
      </c>
      <c r="Z203" s="64">
        <v>138.6</v>
      </c>
      <c r="AA203" s="64">
        <v>146.9</v>
      </c>
      <c r="AB203" s="64">
        <v>131.30000000000001</v>
      </c>
      <c r="AC203" s="64">
        <v>136.6</v>
      </c>
      <c r="AD203" s="64">
        <v>142.5</v>
      </c>
    </row>
    <row r="204" spans="1:30">
      <c r="A204" s="64" t="s">
        <v>33</v>
      </c>
      <c r="B204" s="64">
        <v>2018</v>
      </c>
      <c r="C204" s="64" t="s">
        <v>41</v>
      </c>
      <c r="D204" s="64">
        <v>136.5</v>
      </c>
      <c r="E204" s="64">
        <v>146.4</v>
      </c>
      <c r="F204" s="64">
        <v>136.6</v>
      </c>
      <c r="G204" s="64">
        <v>141.19999999999999</v>
      </c>
      <c r="H204" s="64">
        <v>117.4</v>
      </c>
      <c r="I204" s="64">
        <v>146.30000000000001</v>
      </c>
      <c r="J204" s="64">
        <v>157.30000000000001</v>
      </c>
      <c r="K204" s="64">
        <v>113.6</v>
      </c>
      <c r="L204" s="64">
        <v>113.3</v>
      </c>
      <c r="M204" s="64">
        <v>141.1</v>
      </c>
      <c r="N204" s="64">
        <v>127.4</v>
      </c>
      <c r="O204" s="64">
        <v>150.4</v>
      </c>
      <c r="P204" s="64">
        <v>140.1</v>
      </c>
      <c r="Q204" s="64">
        <v>162.1</v>
      </c>
      <c r="R204" s="64">
        <v>140</v>
      </c>
      <c r="S204" s="64">
        <v>129</v>
      </c>
      <c r="T204" s="64">
        <v>138.30000000000001</v>
      </c>
      <c r="U204" s="64">
        <v>144.6</v>
      </c>
      <c r="V204" s="64">
        <v>129.80000000000001</v>
      </c>
      <c r="W204" s="64">
        <v>134.4</v>
      </c>
      <c r="X204" s="64">
        <v>134.9</v>
      </c>
      <c r="Y204" s="64">
        <v>120.7</v>
      </c>
      <c r="Z204" s="64">
        <v>129.80000000000001</v>
      </c>
      <c r="AA204" s="64">
        <v>145.30000000000001</v>
      </c>
      <c r="AB204" s="64">
        <v>128.30000000000001</v>
      </c>
      <c r="AC204" s="64">
        <v>131</v>
      </c>
      <c r="AD204" s="64">
        <v>138</v>
      </c>
    </row>
    <row r="205" spans="1:30">
      <c r="A205" s="64" t="s">
        <v>34</v>
      </c>
      <c r="B205" s="64">
        <v>2018</v>
      </c>
      <c r="C205" s="64" t="s">
        <v>41</v>
      </c>
      <c r="D205" s="64">
        <v>138.30000000000001</v>
      </c>
      <c r="E205" s="64">
        <v>148</v>
      </c>
      <c r="F205" s="64">
        <v>138.1</v>
      </c>
      <c r="G205" s="64">
        <v>142.6</v>
      </c>
      <c r="H205" s="64">
        <v>122.2</v>
      </c>
      <c r="I205" s="64">
        <v>150.6</v>
      </c>
      <c r="J205" s="64">
        <v>156.6</v>
      </c>
      <c r="K205" s="64">
        <v>122.4</v>
      </c>
      <c r="L205" s="64">
        <v>114.7</v>
      </c>
      <c r="M205" s="64">
        <v>139.4</v>
      </c>
      <c r="N205" s="64">
        <v>131.1</v>
      </c>
      <c r="O205" s="64">
        <v>153</v>
      </c>
      <c r="P205" s="64">
        <v>141.69999999999999</v>
      </c>
      <c r="Q205" s="64">
        <v>157.9</v>
      </c>
      <c r="R205" s="64">
        <v>147.30000000000001</v>
      </c>
      <c r="S205" s="64">
        <v>138.80000000000001</v>
      </c>
      <c r="T205" s="64">
        <v>146.1</v>
      </c>
      <c r="U205" s="64">
        <v>144.6</v>
      </c>
      <c r="V205" s="64">
        <v>140.9</v>
      </c>
      <c r="W205" s="64">
        <v>139.4</v>
      </c>
      <c r="X205" s="64">
        <v>137.69999999999999</v>
      </c>
      <c r="Y205" s="64">
        <v>124.3</v>
      </c>
      <c r="Z205" s="64">
        <v>133.6</v>
      </c>
      <c r="AA205" s="64">
        <v>146</v>
      </c>
      <c r="AB205" s="64">
        <v>130.1</v>
      </c>
      <c r="AC205" s="64">
        <v>133.9</v>
      </c>
      <c r="AD205" s="64">
        <v>140.4</v>
      </c>
    </row>
    <row r="206" spans="1:30">
      <c r="A206" s="64" t="s">
        <v>30</v>
      </c>
      <c r="B206" s="64">
        <v>2018</v>
      </c>
      <c r="C206" s="64" t="s">
        <v>42</v>
      </c>
      <c r="D206" s="64">
        <v>139.4</v>
      </c>
      <c r="E206" s="64">
        <v>147.19999999999999</v>
      </c>
      <c r="F206" s="64">
        <v>136.6</v>
      </c>
      <c r="G206" s="64">
        <v>143.69999999999999</v>
      </c>
      <c r="H206" s="64">
        <v>124.6</v>
      </c>
      <c r="I206" s="64">
        <v>150.1</v>
      </c>
      <c r="J206" s="64">
        <v>149.4</v>
      </c>
      <c r="K206" s="64">
        <v>125.4</v>
      </c>
      <c r="L206" s="64">
        <v>114.4</v>
      </c>
      <c r="M206" s="64">
        <v>138.69999999999999</v>
      </c>
      <c r="N206" s="64">
        <v>133.1</v>
      </c>
      <c r="O206" s="64">
        <v>155.9</v>
      </c>
      <c r="P206" s="64">
        <v>141.30000000000001</v>
      </c>
      <c r="Q206" s="64">
        <v>157.69999999999999</v>
      </c>
      <c r="R206" s="64">
        <v>152.1</v>
      </c>
      <c r="S206" s="64">
        <v>146.1</v>
      </c>
      <c r="T206" s="64">
        <v>151.30000000000001</v>
      </c>
      <c r="U206" s="64">
        <v>145.30000000000001</v>
      </c>
      <c r="V206" s="64">
        <v>149</v>
      </c>
      <c r="W206" s="64">
        <v>144</v>
      </c>
      <c r="X206" s="64">
        <v>140</v>
      </c>
      <c r="Y206" s="64">
        <v>129.9</v>
      </c>
      <c r="Z206" s="64">
        <v>140</v>
      </c>
      <c r="AA206" s="64">
        <v>147.6</v>
      </c>
      <c r="AB206" s="64">
        <v>132</v>
      </c>
      <c r="AC206" s="64">
        <v>137.4</v>
      </c>
      <c r="AD206" s="64">
        <v>142.1</v>
      </c>
    </row>
    <row r="207" spans="1:30">
      <c r="A207" s="64" t="s">
        <v>33</v>
      </c>
      <c r="B207" s="64">
        <v>2018</v>
      </c>
      <c r="C207" s="64" t="s">
        <v>42</v>
      </c>
      <c r="D207" s="64">
        <v>137</v>
      </c>
      <c r="E207" s="64">
        <v>143.1</v>
      </c>
      <c r="F207" s="64">
        <v>132.80000000000001</v>
      </c>
      <c r="G207" s="64">
        <v>141.5</v>
      </c>
      <c r="H207" s="64">
        <v>117.8</v>
      </c>
      <c r="I207" s="64">
        <v>140</v>
      </c>
      <c r="J207" s="64">
        <v>151.30000000000001</v>
      </c>
      <c r="K207" s="64">
        <v>113.5</v>
      </c>
      <c r="L207" s="64">
        <v>112.3</v>
      </c>
      <c r="M207" s="64">
        <v>141.19999999999999</v>
      </c>
      <c r="N207" s="64">
        <v>127.7</v>
      </c>
      <c r="O207" s="64">
        <v>151.30000000000001</v>
      </c>
      <c r="P207" s="64">
        <v>138.9</v>
      </c>
      <c r="Q207" s="64">
        <v>163.30000000000001</v>
      </c>
      <c r="R207" s="64">
        <v>140.80000000000001</v>
      </c>
      <c r="S207" s="64">
        <v>129.30000000000001</v>
      </c>
      <c r="T207" s="64">
        <v>139.1</v>
      </c>
      <c r="U207" s="64">
        <v>145.30000000000001</v>
      </c>
      <c r="V207" s="64">
        <v>131.19999999999999</v>
      </c>
      <c r="W207" s="64">
        <v>134.9</v>
      </c>
      <c r="X207" s="64">
        <v>135.69999999999999</v>
      </c>
      <c r="Y207" s="64">
        <v>122.5</v>
      </c>
      <c r="Z207" s="64">
        <v>130.19999999999999</v>
      </c>
      <c r="AA207" s="64">
        <v>145.19999999999999</v>
      </c>
      <c r="AB207" s="64">
        <v>129.30000000000001</v>
      </c>
      <c r="AC207" s="64">
        <v>131.9</v>
      </c>
      <c r="AD207" s="64">
        <v>138.1</v>
      </c>
    </row>
    <row r="208" spans="1:30">
      <c r="A208" s="64" t="s">
        <v>34</v>
      </c>
      <c r="B208" s="64">
        <v>2018</v>
      </c>
      <c r="C208" s="64" t="s">
        <v>42</v>
      </c>
      <c r="D208" s="64">
        <v>138.6</v>
      </c>
      <c r="E208" s="64">
        <v>145.80000000000001</v>
      </c>
      <c r="F208" s="64">
        <v>135.1</v>
      </c>
      <c r="G208" s="64">
        <v>142.9</v>
      </c>
      <c r="H208" s="64">
        <v>122.1</v>
      </c>
      <c r="I208" s="64">
        <v>145.4</v>
      </c>
      <c r="J208" s="64">
        <v>150</v>
      </c>
      <c r="K208" s="64">
        <v>121.4</v>
      </c>
      <c r="L208" s="64">
        <v>113.7</v>
      </c>
      <c r="M208" s="64">
        <v>139.5</v>
      </c>
      <c r="N208" s="64">
        <v>130.80000000000001</v>
      </c>
      <c r="O208" s="64">
        <v>153.80000000000001</v>
      </c>
      <c r="P208" s="64">
        <v>140.4</v>
      </c>
      <c r="Q208" s="64">
        <v>159.19999999999999</v>
      </c>
      <c r="R208" s="64">
        <v>147.69999999999999</v>
      </c>
      <c r="S208" s="64">
        <v>139.1</v>
      </c>
      <c r="T208" s="64">
        <v>146.5</v>
      </c>
      <c r="U208" s="64">
        <v>145.30000000000001</v>
      </c>
      <c r="V208" s="64">
        <v>142.30000000000001</v>
      </c>
      <c r="W208" s="64">
        <v>139.69999999999999</v>
      </c>
      <c r="X208" s="64">
        <v>138.4</v>
      </c>
      <c r="Y208" s="64">
        <v>126</v>
      </c>
      <c r="Z208" s="64">
        <v>134.5</v>
      </c>
      <c r="AA208" s="64">
        <v>146.19999999999999</v>
      </c>
      <c r="AB208" s="64">
        <v>130.9</v>
      </c>
      <c r="AC208" s="64">
        <v>134.69999999999999</v>
      </c>
      <c r="AD208" s="64">
        <v>140.19999999999999</v>
      </c>
    </row>
    <row r="209" spans="1:30">
      <c r="A209" s="64" t="s">
        <v>30</v>
      </c>
      <c r="B209" s="64">
        <v>2018</v>
      </c>
      <c r="C209" s="64" t="s">
        <v>43</v>
      </c>
      <c r="D209" s="64">
        <v>139.30000000000001</v>
      </c>
      <c r="E209" s="64">
        <v>147.6</v>
      </c>
      <c r="F209" s="64">
        <v>134.6</v>
      </c>
      <c r="G209" s="64">
        <v>141.9</v>
      </c>
      <c r="H209" s="64">
        <v>123.5</v>
      </c>
      <c r="I209" s="64">
        <v>144.5</v>
      </c>
      <c r="J209" s="64">
        <v>147.6</v>
      </c>
      <c r="K209" s="64">
        <v>121.4</v>
      </c>
      <c r="L209" s="64">
        <v>112.3</v>
      </c>
      <c r="M209" s="64">
        <v>139.5</v>
      </c>
      <c r="N209" s="64">
        <v>134.6</v>
      </c>
      <c r="O209" s="64">
        <v>155.19999999999999</v>
      </c>
      <c r="P209" s="64">
        <v>140.19999999999999</v>
      </c>
      <c r="Q209" s="64">
        <v>159.6</v>
      </c>
      <c r="R209" s="64">
        <v>150.69999999999999</v>
      </c>
      <c r="S209" s="64">
        <v>144.5</v>
      </c>
      <c r="T209" s="64">
        <v>149.80000000000001</v>
      </c>
      <c r="U209" s="64">
        <v>146.30000000000001</v>
      </c>
      <c r="V209" s="64">
        <v>149.69999999999999</v>
      </c>
      <c r="W209" s="64">
        <v>147.5</v>
      </c>
      <c r="X209" s="64">
        <v>144.80000000000001</v>
      </c>
      <c r="Y209" s="64">
        <v>130.80000000000001</v>
      </c>
      <c r="Z209" s="64">
        <v>140.1</v>
      </c>
      <c r="AA209" s="64">
        <v>148</v>
      </c>
      <c r="AB209" s="64">
        <v>134.4</v>
      </c>
      <c r="AC209" s="64">
        <v>139.80000000000001</v>
      </c>
      <c r="AD209" s="64">
        <v>142.19999999999999</v>
      </c>
    </row>
    <row r="210" spans="1:30">
      <c r="A210" s="64" t="s">
        <v>33</v>
      </c>
      <c r="B210" s="64">
        <v>2018</v>
      </c>
      <c r="C210" s="64" t="s">
        <v>43</v>
      </c>
      <c r="D210" s="64">
        <v>137.6</v>
      </c>
      <c r="E210" s="64">
        <v>144.9</v>
      </c>
      <c r="F210" s="64">
        <v>133.5</v>
      </c>
      <c r="G210" s="64">
        <v>141.5</v>
      </c>
      <c r="H210" s="64">
        <v>118</v>
      </c>
      <c r="I210" s="64">
        <v>139.5</v>
      </c>
      <c r="J210" s="64">
        <v>153</v>
      </c>
      <c r="K210" s="64">
        <v>113.2</v>
      </c>
      <c r="L210" s="64">
        <v>112.8</v>
      </c>
      <c r="M210" s="64">
        <v>141.1</v>
      </c>
      <c r="N210" s="64">
        <v>127.6</v>
      </c>
      <c r="O210" s="64">
        <v>152</v>
      </c>
      <c r="P210" s="64">
        <v>139.4</v>
      </c>
      <c r="Q210" s="64">
        <v>164</v>
      </c>
      <c r="R210" s="64">
        <v>141.5</v>
      </c>
      <c r="S210" s="64">
        <v>129.80000000000001</v>
      </c>
      <c r="T210" s="64">
        <v>139.69999999999999</v>
      </c>
      <c r="U210" s="64">
        <v>146.30000000000001</v>
      </c>
      <c r="V210" s="64">
        <v>133.4</v>
      </c>
      <c r="W210" s="64">
        <v>135.1</v>
      </c>
      <c r="X210" s="64">
        <v>136.19999999999999</v>
      </c>
      <c r="Y210" s="64">
        <v>123.3</v>
      </c>
      <c r="Z210" s="64">
        <v>130.69999999999999</v>
      </c>
      <c r="AA210" s="64">
        <v>145.5</v>
      </c>
      <c r="AB210" s="64">
        <v>130.4</v>
      </c>
      <c r="AC210" s="64">
        <v>132.5</v>
      </c>
      <c r="AD210" s="64">
        <v>138.9</v>
      </c>
    </row>
    <row r="211" spans="1:30">
      <c r="A211" s="64" t="s">
        <v>34</v>
      </c>
      <c r="B211" s="64">
        <v>2018</v>
      </c>
      <c r="C211" s="64" t="s">
        <v>43</v>
      </c>
      <c r="D211" s="64">
        <v>137.4</v>
      </c>
      <c r="E211" s="64">
        <v>149.5</v>
      </c>
      <c r="F211" s="64">
        <v>137.30000000000001</v>
      </c>
      <c r="G211" s="64">
        <v>141.9</v>
      </c>
      <c r="H211" s="64">
        <v>121.1</v>
      </c>
      <c r="I211" s="64">
        <v>142.5</v>
      </c>
      <c r="J211" s="64">
        <v>146.69999999999999</v>
      </c>
      <c r="K211" s="64">
        <v>119.1</v>
      </c>
      <c r="L211" s="64">
        <v>111.9</v>
      </c>
      <c r="M211" s="64">
        <v>141</v>
      </c>
      <c r="N211" s="64">
        <v>133.6</v>
      </c>
      <c r="O211" s="64">
        <v>154.5</v>
      </c>
      <c r="P211" s="64">
        <v>139.69999999999999</v>
      </c>
      <c r="Q211" s="64">
        <v>162.6</v>
      </c>
      <c r="R211" s="64">
        <v>148</v>
      </c>
      <c r="S211" s="64">
        <v>139.19999999999999</v>
      </c>
      <c r="T211" s="64">
        <v>146.80000000000001</v>
      </c>
      <c r="U211" s="64">
        <v>146.9</v>
      </c>
      <c r="V211" s="64">
        <v>145.30000000000001</v>
      </c>
      <c r="W211" s="64">
        <v>142.19999999999999</v>
      </c>
      <c r="X211" s="64">
        <v>142.1</v>
      </c>
      <c r="Y211" s="64">
        <v>125.5</v>
      </c>
      <c r="Z211" s="64">
        <v>136.5</v>
      </c>
      <c r="AA211" s="64">
        <v>147.80000000000001</v>
      </c>
      <c r="AB211" s="64">
        <v>132</v>
      </c>
      <c r="AC211" s="64">
        <v>136.30000000000001</v>
      </c>
      <c r="AD211" s="64">
        <v>140.80000000000001</v>
      </c>
    </row>
    <row r="212" spans="1:30">
      <c r="A212" s="64" t="s">
        <v>30</v>
      </c>
      <c r="B212" s="64">
        <v>2018</v>
      </c>
      <c r="C212" s="64" t="s">
        <v>45</v>
      </c>
      <c r="D212" s="64">
        <v>137.1</v>
      </c>
      <c r="E212" s="64">
        <v>150.80000000000001</v>
      </c>
      <c r="F212" s="64">
        <v>136.69999999999999</v>
      </c>
      <c r="G212" s="64">
        <v>141.9</v>
      </c>
      <c r="H212" s="64">
        <v>122.8</v>
      </c>
      <c r="I212" s="64">
        <v>143.9</v>
      </c>
      <c r="J212" s="64">
        <v>147.5</v>
      </c>
      <c r="K212" s="64">
        <v>121</v>
      </c>
      <c r="L212" s="64">
        <v>111.6</v>
      </c>
      <c r="M212" s="64">
        <v>140.6</v>
      </c>
      <c r="N212" s="64">
        <v>137.5</v>
      </c>
      <c r="O212" s="64">
        <v>156.1</v>
      </c>
      <c r="P212" s="64">
        <v>140</v>
      </c>
      <c r="Q212" s="64">
        <v>161.9</v>
      </c>
      <c r="R212" s="64">
        <v>151.69999999999999</v>
      </c>
      <c r="S212" s="64">
        <v>145.5</v>
      </c>
      <c r="T212" s="64">
        <v>150.80000000000001</v>
      </c>
      <c r="U212" s="64">
        <v>146.9</v>
      </c>
      <c r="V212" s="64">
        <v>150.30000000000001</v>
      </c>
      <c r="W212" s="64">
        <v>148</v>
      </c>
      <c r="X212" s="64">
        <v>145.4</v>
      </c>
      <c r="Y212" s="64">
        <v>130.30000000000001</v>
      </c>
      <c r="Z212" s="64">
        <v>143.1</v>
      </c>
      <c r="AA212" s="64">
        <v>150.19999999999999</v>
      </c>
      <c r="AB212" s="64">
        <v>133.1</v>
      </c>
      <c r="AC212" s="64">
        <v>140.1</v>
      </c>
      <c r="AD212" s="64">
        <v>142.4</v>
      </c>
    </row>
    <row r="213" spans="1:30">
      <c r="A213" s="64" t="s">
        <v>33</v>
      </c>
      <c r="B213" s="64">
        <v>2018</v>
      </c>
      <c r="C213" s="64" t="s">
        <v>45</v>
      </c>
      <c r="D213" s="64">
        <v>138.1</v>
      </c>
      <c r="E213" s="64">
        <v>146.30000000000001</v>
      </c>
      <c r="F213" s="64">
        <v>137.80000000000001</v>
      </c>
      <c r="G213" s="64">
        <v>141.6</v>
      </c>
      <c r="H213" s="64">
        <v>118.1</v>
      </c>
      <c r="I213" s="64">
        <v>141.5</v>
      </c>
      <c r="J213" s="64">
        <v>145.19999999999999</v>
      </c>
      <c r="K213" s="64">
        <v>115.3</v>
      </c>
      <c r="L213" s="64">
        <v>112.5</v>
      </c>
      <c r="M213" s="64">
        <v>141.4</v>
      </c>
      <c r="N213" s="64">
        <v>128</v>
      </c>
      <c r="O213" s="64">
        <v>152.6</v>
      </c>
      <c r="P213" s="64">
        <v>139.1</v>
      </c>
      <c r="Q213" s="64">
        <v>164.4</v>
      </c>
      <c r="R213" s="64">
        <v>142.4</v>
      </c>
      <c r="S213" s="64">
        <v>130.19999999999999</v>
      </c>
      <c r="T213" s="64">
        <v>140.5</v>
      </c>
      <c r="U213" s="64">
        <v>146.9</v>
      </c>
      <c r="V213" s="64">
        <v>136.69999999999999</v>
      </c>
      <c r="W213" s="64">
        <v>135.80000000000001</v>
      </c>
      <c r="X213" s="64">
        <v>136.80000000000001</v>
      </c>
      <c r="Y213" s="64">
        <v>121.2</v>
      </c>
      <c r="Z213" s="64">
        <v>131.30000000000001</v>
      </c>
      <c r="AA213" s="64">
        <v>146.1</v>
      </c>
      <c r="AB213" s="64">
        <v>130.5</v>
      </c>
      <c r="AC213" s="64">
        <v>132.19999999999999</v>
      </c>
      <c r="AD213" s="64">
        <v>139</v>
      </c>
    </row>
    <row r="214" spans="1:30">
      <c r="A214" s="64" t="s">
        <v>34</v>
      </c>
      <c r="B214" s="64">
        <v>2018</v>
      </c>
      <c r="C214" s="64" t="s">
        <v>45</v>
      </c>
      <c r="D214" s="64">
        <v>137.4</v>
      </c>
      <c r="E214" s="64">
        <v>149.19999999999999</v>
      </c>
      <c r="F214" s="64">
        <v>137.1</v>
      </c>
      <c r="G214" s="64">
        <v>141.80000000000001</v>
      </c>
      <c r="H214" s="64">
        <v>121.1</v>
      </c>
      <c r="I214" s="64">
        <v>142.80000000000001</v>
      </c>
      <c r="J214" s="64">
        <v>146.69999999999999</v>
      </c>
      <c r="K214" s="64">
        <v>119.1</v>
      </c>
      <c r="L214" s="64">
        <v>111.9</v>
      </c>
      <c r="M214" s="64">
        <v>140.9</v>
      </c>
      <c r="N214" s="64">
        <v>133.5</v>
      </c>
      <c r="O214" s="64">
        <v>154.5</v>
      </c>
      <c r="P214" s="64">
        <v>139.69999999999999</v>
      </c>
      <c r="Q214" s="64">
        <v>162.6</v>
      </c>
      <c r="R214" s="64">
        <v>148</v>
      </c>
      <c r="S214" s="64">
        <v>139.1</v>
      </c>
      <c r="T214" s="64">
        <v>146.69999999999999</v>
      </c>
      <c r="U214" s="64">
        <v>146.9</v>
      </c>
      <c r="V214" s="64">
        <v>145.1</v>
      </c>
      <c r="W214" s="64">
        <v>142.19999999999999</v>
      </c>
      <c r="X214" s="64">
        <v>142.1</v>
      </c>
      <c r="Y214" s="64">
        <v>125.5</v>
      </c>
      <c r="Z214" s="64">
        <v>136.5</v>
      </c>
      <c r="AA214" s="64">
        <v>147.80000000000001</v>
      </c>
      <c r="AB214" s="64">
        <v>132</v>
      </c>
      <c r="AC214" s="64">
        <v>136.30000000000001</v>
      </c>
      <c r="AD214" s="64">
        <v>140.80000000000001</v>
      </c>
    </row>
    <row r="215" spans="1:30">
      <c r="A215" s="64" t="s">
        <v>30</v>
      </c>
      <c r="B215" s="64">
        <v>2018</v>
      </c>
      <c r="C215" s="64" t="s">
        <v>46</v>
      </c>
      <c r="D215" s="64">
        <v>137.1</v>
      </c>
      <c r="E215" s="64">
        <v>151.9</v>
      </c>
      <c r="F215" s="64">
        <v>137.4</v>
      </c>
      <c r="G215" s="64">
        <v>142.4</v>
      </c>
      <c r="H215" s="64">
        <v>124.2</v>
      </c>
      <c r="I215" s="64">
        <v>140.19999999999999</v>
      </c>
      <c r="J215" s="64">
        <v>136.6</v>
      </c>
      <c r="K215" s="64">
        <v>120.9</v>
      </c>
      <c r="L215" s="64">
        <v>109.9</v>
      </c>
      <c r="M215" s="64">
        <v>140.19999999999999</v>
      </c>
      <c r="N215" s="64">
        <v>137.80000000000001</v>
      </c>
      <c r="O215" s="64">
        <v>156</v>
      </c>
      <c r="P215" s="64">
        <v>138.5</v>
      </c>
      <c r="Q215" s="64">
        <v>162.4</v>
      </c>
      <c r="R215" s="64">
        <v>151.6</v>
      </c>
      <c r="S215" s="64">
        <v>145.9</v>
      </c>
      <c r="T215" s="64">
        <v>150.80000000000001</v>
      </c>
      <c r="U215" s="64">
        <v>146.5</v>
      </c>
      <c r="V215" s="64">
        <v>149</v>
      </c>
      <c r="W215" s="64">
        <v>149.5</v>
      </c>
      <c r="X215" s="64">
        <v>149.6</v>
      </c>
      <c r="Y215" s="64">
        <v>128.9</v>
      </c>
      <c r="Z215" s="64">
        <v>143.30000000000001</v>
      </c>
      <c r="AA215" s="64">
        <v>155.1</v>
      </c>
      <c r="AB215" s="64">
        <v>133.19999999999999</v>
      </c>
      <c r="AC215" s="64">
        <v>141.6</v>
      </c>
      <c r="AD215" s="64">
        <v>141.9</v>
      </c>
    </row>
    <row r="216" spans="1:30">
      <c r="A216" s="64" t="s">
        <v>33</v>
      </c>
      <c r="B216" s="64">
        <v>2018</v>
      </c>
      <c r="C216" s="64" t="s">
        <v>46</v>
      </c>
      <c r="D216" s="64">
        <v>138.5</v>
      </c>
      <c r="E216" s="64">
        <v>147.80000000000001</v>
      </c>
      <c r="F216" s="64">
        <v>141.1</v>
      </c>
      <c r="G216" s="64">
        <v>141.6</v>
      </c>
      <c r="H216" s="64">
        <v>118.1</v>
      </c>
      <c r="I216" s="64">
        <v>138.5</v>
      </c>
      <c r="J216" s="64">
        <v>132.4</v>
      </c>
      <c r="K216" s="64">
        <v>117.5</v>
      </c>
      <c r="L216" s="64">
        <v>111</v>
      </c>
      <c r="M216" s="64">
        <v>141.5</v>
      </c>
      <c r="N216" s="64">
        <v>128.1</v>
      </c>
      <c r="O216" s="64">
        <v>152.9</v>
      </c>
      <c r="P216" s="64">
        <v>137.6</v>
      </c>
      <c r="Q216" s="64">
        <v>164.6</v>
      </c>
      <c r="R216" s="64">
        <v>142.69999999999999</v>
      </c>
      <c r="S216" s="64">
        <v>130.30000000000001</v>
      </c>
      <c r="T216" s="64">
        <v>140.80000000000001</v>
      </c>
      <c r="U216" s="64">
        <v>146.5</v>
      </c>
      <c r="V216" s="64">
        <v>132.4</v>
      </c>
      <c r="W216" s="64">
        <v>136.19999999999999</v>
      </c>
      <c r="X216" s="64">
        <v>137.30000000000001</v>
      </c>
      <c r="Y216" s="64">
        <v>118.8</v>
      </c>
      <c r="Z216" s="64">
        <v>131.69999999999999</v>
      </c>
      <c r="AA216" s="64">
        <v>146.5</v>
      </c>
      <c r="AB216" s="64">
        <v>130.80000000000001</v>
      </c>
      <c r="AC216" s="64">
        <v>131.69999999999999</v>
      </c>
      <c r="AD216" s="64">
        <v>138</v>
      </c>
    </row>
    <row r="217" spans="1:30">
      <c r="A217" s="64" t="s">
        <v>34</v>
      </c>
      <c r="B217" s="64">
        <v>2018</v>
      </c>
      <c r="C217" s="64" t="s">
        <v>46</v>
      </c>
      <c r="D217" s="64">
        <v>137.5</v>
      </c>
      <c r="E217" s="64">
        <v>150.5</v>
      </c>
      <c r="F217" s="64">
        <v>138.80000000000001</v>
      </c>
      <c r="G217" s="64">
        <v>142.1</v>
      </c>
      <c r="H217" s="64">
        <v>122</v>
      </c>
      <c r="I217" s="64">
        <v>139.4</v>
      </c>
      <c r="J217" s="64">
        <v>135.19999999999999</v>
      </c>
      <c r="K217" s="64">
        <v>119.8</v>
      </c>
      <c r="L217" s="64">
        <v>110.3</v>
      </c>
      <c r="M217" s="64">
        <v>140.6</v>
      </c>
      <c r="N217" s="64">
        <v>133.80000000000001</v>
      </c>
      <c r="O217" s="64">
        <v>154.6</v>
      </c>
      <c r="P217" s="64">
        <v>138.19999999999999</v>
      </c>
      <c r="Q217" s="64">
        <v>163</v>
      </c>
      <c r="R217" s="64">
        <v>148.1</v>
      </c>
      <c r="S217" s="64">
        <v>139.4</v>
      </c>
      <c r="T217" s="64">
        <v>146.80000000000001</v>
      </c>
      <c r="U217" s="64">
        <v>146.5</v>
      </c>
      <c r="V217" s="64">
        <v>142.69999999999999</v>
      </c>
      <c r="W217" s="64">
        <v>143.19999999999999</v>
      </c>
      <c r="X217" s="64">
        <v>144.9</v>
      </c>
      <c r="Y217" s="64">
        <v>123.6</v>
      </c>
      <c r="Z217" s="64">
        <v>136.80000000000001</v>
      </c>
      <c r="AA217" s="64">
        <v>150.1</v>
      </c>
      <c r="AB217" s="64">
        <v>132.19999999999999</v>
      </c>
      <c r="AC217" s="64">
        <v>136.80000000000001</v>
      </c>
      <c r="AD217" s="64">
        <v>140.1</v>
      </c>
    </row>
    <row r="218" spans="1:30">
      <c r="A218" s="64" t="s">
        <v>30</v>
      </c>
      <c r="B218" s="64">
        <v>2019</v>
      </c>
      <c r="C218" s="64" t="s">
        <v>31</v>
      </c>
      <c r="D218" s="64">
        <v>136.6</v>
      </c>
      <c r="E218" s="64">
        <v>152.5</v>
      </c>
      <c r="F218" s="64">
        <v>138.19999999999999</v>
      </c>
      <c r="G218" s="64">
        <v>142.4</v>
      </c>
      <c r="H218" s="64">
        <v>123.9</v>
      </c>
      <c r="I218" s="64">
        <v>135.5</v>
      </c>
      <c r="J218" s="64">
        <v>131.69999999999999</v>
      </c>
      <c r="K218" s="64">
        <v>121.3</v>
      </c>
      <c r="L218" s="64">
        <v>108.4</v>
      </c>
      <c r="M218" s="64">
        <v>138.9</v>
      </c>
      <c r="N218" s="64">
        <v>137</v>
      </c>
      <c r="O218" s="64">
        <v>155.80000000000001</v>
      </c>
      <c r="P218" s="64">
        <v>137.4</v>
      </c>
      <c r="Q218" s="64">
        <v>162.69999999999999</v>
      </c>
      <c r="R218" s="64">
        <v>150.6</v>
      </c>
      <c r="S218" s="64">
        <v>145.1</v>
      </c>
      <c r="T218" s="64">
        <v>149.9</v>
      </c>
      <c r="U218" s="64">
        <v>147.69999999999999</v>
      </c>
      <c r="V218" s="64">
        <v>146.19999999999999</v>
      </c>
      <c r="W218" s="64">
        <v>150.1</v>
      </c>
      <c r="X218" s="64">
        <v>149.6</v>
      </c>
      <c r="Y218" s="64">
        <v>128.6</v>
      </c>
      <c r="Z218" s="64">
        <v>142.9</v>
      </c>
      <c r="AA218" s="64">
        <v>155.19999999999999</v>
      </c>
      <c r="AB218" s="64">
        <v>133.5</v>
      </c>
      <c r="AC218" s="64">
        <v>141.69999999999999</v>
      </c>
      <c r="AD218" s="64">
        <v>141</v>
      </c>
    </row>
    <row r="219" spans="1:30">
      <c r="A219" s="64" t="s">
        <v>33</v>
      </c>
      <c r="B219" s="64">
        <v>2019</v>
      </c>
      <c r="C219" s="64" t="s">
        <v>31</v>
      </c>
      <c r="D219" s="64">
        <v>138.30000000000001</v>
      </c>
      <c r="E219" s="64">
        <v>149.4</v>
      </c>
      <c r="F219" s="64">
        <v>143.5</v>
      </c>
      <c r="G219" s="64">
        <v>141.69999999999999</v>
      </c>
      <c r="H219" s="64">
        <v>118.1</v>
      </c>
      <c r="I219" s="64">
        <v>135.19999999999999</v>
      </c>
      <c r="J219" s="64">
        <v>130.5</v>
      </c>
      <c r="K219" s="64">
        <v>118.2</v>
      </c>
      <c r="L219" s="64">
        <v>110.4</v>
      </c>
      <c r="M219" s="64">
        <v>140.4</v>
      </c>
      <c r="N219" s="64">
        <v>128.1</v>
      </c>
      <c r="O219" s="64">
        <v>153.19999999999999</v>
      </c>
      <c r="P219" s="64">
        <v>137.30000000000001</v>
      </c>
      <c r="Q219" s="64">
        <v>164.7</v>
      </c>
      <c r="R219" s="64">
        <v>143</v>
      </c>
      <c r="S219" s="64">
        <v>130.4</v>
      </c>
      <c r="T219" s="64">
        <v>141.1</v>
      </c>
      <c r="U219" s="64">
        <v>147.69999999999999</v>
      </c>
      <c r="V219" s="64">
        <v>128.6</v>
      </c>
      <c r="W219" s="64">
        <v>136.30000000000001</v>
      </c>
      <c r="X219" s="64">
        <v>137.80000000000001</v>
      </c>
      <c r="Y219" s="64">
        <v>118.6</v>
      </c>
      <c r="Z219" s="64">
        <v>131.9</v>
      </c>
      <c r="AA219" s="64">
        <v>146.6</v>
      </c>
      <c r="AB219" s="64">
        <v>131.69999999999999</v>
      </c>
      <c r="AC219" s="64">
        <v>131.80000000000001</v>
      </c>
      <c r="AD219" s="64">
        <v>138</v>
      </c>
    </row>
    <row r="220" spans="1:30">
      <c r="A220" s="64" t="s">
        <v>34</v>
      </c>
      <c r="B220" s="64">
        <v>2019</v>
      </c>
      <c r="C220" s="64" t="s">
        <v>31</v>
      </c>
      <c r="D220" s="64">
        <v>137.1</v>
      </c>
      <c r="E220" s="64">
        <v>151.4</v>
      </c>
      <c r="F220" s="64">
        <v>140.19999999999999</v>
      </c>
      <c r="G220" s="64">
        <v>142.1</v>
      </c>
      <c r="H220" s="64">
        <v>121.8</v>
      </c>
      <c r="I220" s="64">
        <v>135.4</v>
      </c>
      <c r="J220" s="64">
        <v>131.30000000000001</v>
      </c>
      <c r="K220" s="64">
        <v>120.3</v>
      </c>
      <c r="L220" s="64">
        <v>109.1</v>
      </c>
      <c r="M220" s="64">
        <v>139.4</v>
      </c>
      <c r="N220" s="64">
        <v>133.30000000000001</v>
      </c>
      <c r="O220" s="64">
        <v>154.6</v>
      </c>
      <c r="P220" s="64">
        <v>137.4</v>
      </c>
      <c r="Q220" s="64">
        <v>163.19999999999999</v>
      </c>
      <c r="R220" s="64">
        <v>147.6</v>
      </c>
      <c r="S220" s="64">
        <v>139</v>
      </c>
      <c r="T220" s="64">
        <v>146.4</v>
      </c>
      <c r="U220" s="64">
        <v>147.69999999999999</v>
      </c>
      <c r="V220" s="64">
        <v>139.5</v>
      </c>
      <c r="W220" s="64">
        <v>143.6</v>
      </c>
      <c r="X220" s="64">
        <v>145.1</v>
      </c>
      <c r="Y220" s="64">
        <v>123.3</v>
      </c>
      <c r="Z220" s="64">
        <v>136.69999999999999</v>
      </c>
      <c r="AA220" s="64">
        <v>150.19999999999999</v>
      </c>
      <c r="AB220" s="64">
        <v>132.80000000000001</v>
      </c>
      <c r="AC220" s="64">
        <v>136.9</v>
      </c>
      <c r="AD220" s="64">
        <v>139.6</v>
      </c>
    </row>
    <row r="221" spans="1:30">
      <c r="A221" s="64" t="s">
        <v>30</v>
      </c>
      <c r="B221" s="64">
        <v>2019</v>
      </c>
      <c r="C221" s="64" t="s">
        <v>35</v>
      </c>
      <c r="D221" s="64">
        <v>136.80000000000001</v>
      </c>
      <c r="E221" s="64">
        <v>153</v>
      </c>
      <c r="F221" s="64">
        <v>139.1</v>
      </c>
      <c r="G221" s="64">
        <v>142.5</v>
      </c>
      <c r="H221" s="64">
        <v>124.1</v>
      </c>
      <c r="I221" s="64">
        <v>135.80000000000001</v>
      </c>
      <c r="J221" s="64">
        <v>128.69999999999999</v>
      </c>
      <c r="K221" s="64">
        <v>121.5</v>
      </c>
      <c r="L221" s="64">
        <v>108.3</v>
      </c>
      <c r="M221" s="64">
        <v>139.19999999999999</v>
      </c>
      <c r="N221" s="64">
        <v>137.4</v>
      </c>
      <c r="O221" s="64">
        <v>156.19999999999999</v>
      </c>
      <c r="P221" s="64">
        <v>137.19999999999999</v>
      </c>
      <c r="Q221" s="64">
        <v>162.80000000000001</v>
      </c>
      <c r="R221" s="64">
        <v>150.5</v>
      </c>
      <c r="S221" s="64">
        <v>146.1</v>
      </c>
      <c r="T221" s="64">
        <v>149.9</v>
      </c>
      <c r="U221" s="64">
        <v>148.5</v>
      </c>
      <c r="V221" s="64">
        <v>145.30000000000001</v>
      </c>
      <c r="W221" s="64">
        <v>150.1</v>
      </c>
      <c r="X221" s="64">
        <v>149.9</v>
      </c>
      <c r="Y221" s="64">
        <v>129.19999999999999</v>
      </c>
      <c r="Z221" s="64">
        <v>143.4</v>
      </c>
      <c r="AA221" s="64">
        <v>155.5</v>
      </c>
      <c r="AB221" s="64">
        <v>134.9</v>
      </c>
      <c r="AC221" s="64">
        <v>142.19999999999999</v>
      </c>
      <c r="AD221" s="64">
        <v>141</v>
      </c>
    </row>
    <row r="222" spans="1:30">
      <c r="A222" s="64" t="s">
        <v>33</v>
      </c>
      <c r="B222" s="64">
        <v>2019</v>
      </c>
      <c r="C222" s="64" t="s">
        <v>35</v>
      </c>
      <c r="D222" s="64">
        <v>139.4</v>
      </c>
      <c r="E222" s="64">
        <v>150.1</v>
      </c>
      <c r="F222" s="64">
        <v>145.30000000000001</v>
      </c>
      <c r="G222" s="64">
        <v>141.69999999999999</v>
      </c>
      <c r="H222" s="64">
        <v>118.4</v>
      </c>
      <c r="I222" s="64">
        <v>137</v>
      </c>
      <c r="J222" s="64">
        <v>131.6</v>
      </c>
      <c r="K222" s="64">
        <v>119.9</v>
      </c>
      <c r="L222" s="64">
        <v>110.4</v>
      </c>
      <c r="M222" s="64">
        <v>140.80000000000001</v>
      </c>
      <c r="N222" s="64">
        <v>128.30000000000001</v>
      </c>
      <c r="O222" s="64">
        <v>153.5</v>
      </c>
      <c r="P222" s="64">
        <v>138</v>
      </c>
      <c r="Q222" s="64">
        <v>164.9</v>
      </c>
      <c r="R222" s="64">
        <v>143.30000000000001</v>
      </c>
      <c r="S222" s="64">
        <v>130.80000000000001</v>
      </c>
      <c r="T222" s="64">
        <v>141.4</v>
      </c>
      <c r="U222" s="64">
        <v>148.5</v>
      </c>
      <c r="V222" s="64">
        <v>127.1</v>
      </c>
      <c r="W222" s="64">
        <v>136.6</v>
      </c>
      <c r="X222" s="64">
        <v>138.5</v>
      </c>
      <c r="Y222" s="64">
        <v>119.2</v>
      </c>
      <c r="Z222" s="64">
        <v>132.19999999999999</v>
      </c>
      <c r="AA222" s="64">
        <v>146.6</v>
      </c>
      <c r="AB222" s="64">
        <v>133</v>
      </c>
      <c r="AC222" s="64">
        <v>132.4</v>
      </c>
      <c r="AD222" s="64">
        <v>138.6</v>
      </c>
    </row>
    <row r="223" spans="1:30">
      <c r="A223" s="64" t="s">
        <v>34</v>
      </c>
      <c r="B223" s="64">
        <v>2019</v>
      </c>
      <c r="C223" s="64" t="s">
        <v>35</v>
      </c>
      <c r="D223" s="64">
        <v>137.6</v>
      </c>
      <c r="E223" s="64">
        <v>152</v>
      </c>
      <c r="F223" s="64">
        <v>141.5</v>
      </c>
      <c r="G223" s="64">
        <v>142.19999999999999</v>
      </c>
      <c r="H223" s="64">
        <v>122</v>
      </c>
      <c r="I223" s="64">
        <v>136.4</v>
      </c>
      <c r="J223" s="64">
        <v>129.69999999999999</v>
      </c>
      <c r="K223" s="64">
        <v>121</v>
      </c>
      <c r="L223" s="64">
        <v>109</v>
      </c>
      <c r="M223" s="64">
        <v>139.69999999999999</v>
      </c>
      <c r="N223" s="64">
        <v>133.6</v>
      </c>
      <c r="O223" s="64">
        <v>154.9</v>
      </c>
      <c r="P223" s="64">
        <v>137.5</v>
      </c>
      <c r="Q223" s="64">
        <v>163.4</v>
      </c>
      <c r="R223" s="64">
        <v>147.69999999999999</v>
      </c>
      <c r="S223" s="64">
        <v>139.69999999999999</v>
      </c>
      <c r="T223" s="64">
        <v>146.5</v>
      </c>
      <c r="U223" s="64">
        <v>148.5</v>
      </c>
      <c r="V223" s="64">
        <v>138.4</v>
      </c>
      <c r="W223" s="64">
        <v>143.69999999999999</v>
      </c>
      <c r="X223" s="64">
        <v>145.6</v>
      </c>
      <c r="Y223" s="64">
        <v>123.9</v>
      </c>
      <c r="Z223" s="64">
        <v>137.1</v>
      </c>
      <c r="AA223" s="64">
        <v>150.30000000000001</v>
      </c>
      <c r="AB223" s="64">
        <v>134.1</v>
      </c>
      <c r="AC223" s="64">
        <v>137.4</v>
      </c>
      <c r="AD223" s="64">
        <v>139.9</v>
      </c>
    </row>
    <row r="224" spans="1:30">
      <c r="A224" s="64" t="s">
        <v>30</v>
      </c>
      <c r="B224" s="64">
        <v>2019</v>
      </c>
      <c r="C224" s="64" t="s">
        <v>36</v>
      </c>
      <c r="D224" s="64">
        <v>136.9</v>
      </c>
      <c r="E224" s="64">
        <v>154.1</v>
      </c>
      <c r="F224" s="64">
        <v>138.69999999999999</v>
      </c>
      <c r="G224" s="64">
        <v>142.5</v>
      </c>
      <c r="H224" s="64">
        <v>124.1</v>
      </c>
      <c r="I224" s="64">
        <v>136.1</v>
      </c>
      <c r="J224" s="64">
        <v>128.19999999999999</v>
      </c>
      <c r="K224" s="64">
        <v>122.3</v>
      </c>
      <c r="L224" s="64">
        <v>108.3</v>
      </c>
      <c r="M224" s="64">
        <v>138.9</v>
      </c>
      <c r="N224" s="64">
        <v>137.4</v>
      </c>
      <c r="O224" s="64">
        <v>156.4</v>
      </c>
      <c r="P224" s="64">
        <v>137.30000000000001</v>
      </c>
      <c r="Q224" s="64">
        <v>162.9</v>
      </c>
      <c r="R224" s="64">
        <v>150.80000000000001</v>
      </c>
      <c r="S224" s="64">
        <v>146.1</v>
      </c>
      <c r="T224" s="64">
        <v>150.1</v>
      </c>
      <c r="U224" s="64">
        <v>149</v>
      </c>
      <c r="V224" s="64">
        <v>146.4</v>
      </c>
      <c r="W224" s="64">
        <v>150</v>
      </c>
      <c r="X224" s="64">
        <v>150.4</v>
      </c>
      <c r="Y224" s="64">
        <v>129.9</v>
      </c>
      <c r="Z224" s="64">
        <v>143.80000000000001</v>
      </c>
      <c r="AA224" s="64">
        <v>155.5</v>
      </c>
      <c r="AB224" s="64">
        <v>134</v>
      </c>
      <c r="AC224" s="64">
        <v>142.4</v>
      </c>
      <c r="AD224" s="64">
        <v>141.19999999999999</v>
      </c>
    </row>
    <row r="225" spans="1:30">
      <c r="A225" s="64" t="s">
        <v>33</v>
      </c>
      <c r="B225" s="64">
        <v>2019</v>
      </c>
      <c r="C225" s="64" t="s">
        <v>36</v>
      </c>
      <c r="D225" s="64">
        <v>139.69999999999999</v>
      </c>
      <c r="E225" s="64">
        <v>151.1</v>
      </c>
      <c r="F225" s="64">
        <v>142.9</v>
      </c>
      <c r="G225" s="64">
        <v>141.9</v>
      </c>
      <c r="H225" s="64">
        <v>118.4</v>
      </c>
      <c r="I225" s="64">
        <v>139.4</v>
      </c>
      <c r="J225" s="64">
        <v>141.19999999999999</v>
      </c>
      <c r="K225" s="64">
        <v>120.7</v>
      </c>
      <c r="L225" s="64">
        <v>110.4</v>
      </c>
      <c r="M225" s="64">
        <v>140.69999999999999</v>
      </c>
      <c r="N225" s="64">
        <v>128.5</v>
      </c>
      <c r="O225" s="64">
        <v>153.9</v>
      </c>
      <c r="P225" s="64">
        <v>139.6</v>
      </c>
      <c r="Q225" s="64">
        <v>165.3</v>
      </c>
      <c r="R225" s="64">
        <v>143.5</v>
      </c>
      <c r="S225" s="64">
        <v>131.19999999999999</v>
      </c>
      <c r="T225" s="64">
        <v>141.6</v>
      </c>
      <c r="U225" s="64">
        <v>149</v>
      </c>
      <c r="V225" s="64">
        <v>128.80000000000001</v>
      </c>
      <c r="W225" s="64">
        <v>136.80000000000001</v>
      </c>
      <c r="X225" s="64">
        <v>139.19999999999999</v>
      </c>
      <c r="Y225" s="64">
        <v>119.9</v>
      </c>
      <c r="Z225" s="64">
        <v>133</v>
      </c>
      <c r="AA225" s="64">
        <v>146.69999999999999</v>
      </c>
      <c r="AB225" s="64">
        <v>132.5</v>
      </c>
      <c r="AC225" s="64">
        <v>132.80000000000001</v>
      </c>
      <c r="AD225" s="64">
        <v>139.5</v>
      </c>
    </row>
    <row r="226" spans="1:30">
      <c r="A226" s="64" t="s">
        <v>34</v>
      </c>
      <c r="B226" s="64">
        <v>2019</v>
      </c>
      <c r="C226" s="64" t="s">
        <v>36</v>
      </c>
      <c r="D226" s="64">
        <v>137.80000000000001</v>
      </c>
      <c r="E226" s="64">
        <v>153</v>
      </c>
      <c r="F226" s="64">
        <v>140.30000000000001</v>
      </c>
      <c r="G226" s="64">
        <v>142.30000000000001</v>
      </c>
      <c r="H226" s="64">
        <v>122</v>
      </c>
      <c r="I226" s="64">
        <v>137.6</v>
      </c>
      <c r="J226" s="64">
        <v>132.6</v>
      </c>
      <c r="K226" s="64">
        <v>121.8</v>
      </c>
      <c r="L226" s="64">
        <v>109</v>
      </c>
      <c r="M226" s="64">
        <v>139.5</v>
      </c>
      <c r="N226" s="64">
        <v>133.69999999999999</v>
      </c>
      <c r="O226" s="64">
        <v>155.19999999999999</v>
      </c>
      <c r="P226" s="64">
        <v>138.1</v>
      </c>
      <c r="Q226" s="64">
        <v>163.5</v>
      </c>
      <c r="R226" s="64">
        <v>147.9</v>
      </c>
      <c r="S226" s="64">
        <v>139.9</v>
      </c>
      <c r="T226" s="64">
        <v>146.69999999999999</v>
      </c>
      <c r="U226" s="64">
        <v>149</v>
      </c>
      <c r="V226" s="64">
        <v>139.69999999999999</v>
      </c>
      <c r="W226" s="64">
        <v>143.80000000000001</v>
      </c>
      <c r="X226" s="64">
        <v>146.19999999999999</v>
      </c>
      <c r="Y226" s="64">
        <v>124.6</v>
      </c>
      <c r="Z226" s="64">
        <v>137.69999999999999</v>
      </c>
      <c r="AA226" s="64">
        <v>150.30000000000001</v>
      </c>
      <c r="AB226" s="64">
        <v>133.4</v>
      </c>
      <c r="AC226" s="64">
        <v>137.69999999999999</v>
      </c>
      <c r="AD226" s="64">
        <v>140.4</v>
      </c>
    </row>
    <row r="227" spans="1:30">
      <c r="A227" s="64" t="s">
        <v>30</v>
      </c>
      <c r="B227" s="64">
        <v>2019</v>
      </c>
      <c r="C227" s="64" t="s">
        <v>38</v>
      </c>
      <c r="D227" s="64">
        <v>137.4</v>
      </c>
      <c r="E227" s="64">
        <v>159.5</v>
      </c>
      <c r="F227" s="64">
        <v>134.5</v>
      </c>
      <c r="G227" s="64">
        <v>142.6</v>
      </c>
      <c r="H227" s="64">
        <v>124</v>
      </c>
      <c r="I227" s="64">
        <v>143.69999999999999</v>
      </c>
      <c r="J227" s="64">
        <v>133.4</v>
      </c>
      <c r="K227" s="64">
        <v>125.1</v>
      </c>
      <c r="L227" s="64">
        <v>109.3</v>
      </c>
      <c r="M227" s="64">
        <v>139.30000000000001</v>
      </c>
      <c r="N227" s="64">
        <v>137.69999999999999</v>
      </c>
      <c r="O227" s="64">
        <v>156.4</v>
      </c>
      <c r="P227" s="64">
        <v>139.19999999999999</v>
      </c>
      <c r="Q227" s="64">
        <v>163.30000000000001</v>
      </c>
      <c r="R227" s="64">
        <v>151.30000000000001</v>
      </c>
      <c r="S227" s="64">
        <v>146.6</v>
      </c>
      <c r="T227" s="64">
        <v>150.69999999999999</v>
      </c>
      <c r="U227" s="64">
        <v>150.1</v>
      </c>
      <c r="V227" s="64">
        <v>146.9</v>
      </c>
      <c r="W227" s="64">
        <v>149.5</v>
      </c>
      <c r="X227" s="64">
        <v>151.30000000000001</v>
      </c>
      <c r="Y227" s="64">
        <v>130.19999999999999</v>
      </c>
      <c r="Z227" s="64">
        <v>145.9</v>
      </c>
      <c r="AA227" s="64">
        <v>156.69999999999999</v>
      </c>
      <c r="AB227" s="64">
        <v>133.9</v>
      </c>
      <c r="AC227" s="64">
        <v>142.9</v>
      </c>
      <c r="AD227" s="64">
        <v>142.4</v>
      </c>
    </row>
    <row r="228" spans="1:30">
      <c r="A228" s="64" t="s">
        <v>33</v>
      </c>
      <c r="B228" s="64">
        <v>2019</v>
      </c>
      <c r="C228" s="64" t="s">
        <v>38</v>
      </c>
      <c r="D228" s="64">
        <v>140.4</v>
      </c>
      <c r="E228" s="64">
        <v>156.69999999999999</v>
      </c>
      <c r="F228" s="64">
        <v>138.30000000000001</v>
      </c>
      <c r="G228" s="64">
        <v>142.4</v>
      </c>
      <c r="H228" s="64">
        <v>118.6</v>
      </c>
      <c r="I228" s="64">
        <v>149.69999999999999</v>
      </c>
      <c r="J228" s="64">
        <v>161.6</v>
      </c>
      <c r="K228" s="64">
        <v>124.4</v>
      </c>
      <c r="L228" s="64">
        <v>111.2</v>
      </c>
      <c r="M228" s="64">
        <v>141</v>
      </c>
      <c r="N228" s="64">
        <v>128.9</v>
      </c>
      <c r="O228" s="64">
        <v>154.5</v>
      </c>
      <c r="P228" s="64">
        <v>143.80000000000001</v>
      </c>
      <c r="Q228" s="64">
        <v>166.2</v>
      </c>
      <c r="R228" s="64">
        <v>144</v>
      </c>
      <c r="S228" s="64">
        <v>131.69999999999999</v>
      </c>
      <c r="T228" s="64">
        <v>142.19999999999999</v>
      </c>
      <c r="U228" s="64">
        <v>150.1</v>
      </c>
      <c r="V228" s="64">
        <v>129.4</v>
      </c>
      <c r="W228" s="64">
        <v>137.19999999999999</v>
      </c>
      <c r="X228" s="64">
        <v>139.80000000000001</v>
      </c>
      <c r="Y228" s="64">
        <v>120.1</v>
      </c>
      <c r="Z228" s="64">
        <v>134</v>
      </c>
      <c r="AA228" s="64">
        <v>148</v>
      </c>
      <c r="AB228" s="64">
        <v>132.6</v>
      </c>
      <c r="AC228" s="64">
        <v>133.30000000000001</v>
      </c>
      <c r="AD228" s="64">
        <v>141.5</v>
      </c>
    </row>
    <row r="229" spans="1:30">
      <c r="A229" s="64" t="s">
        <v>34</v>
      </c>
      <c r="B229" s="64">
        <v>2019</v>
      </c>
      <c r="C229" s="64" t="s">
        <v>38</v>
      </c>
      <c r="D229" s="64">
        <v>138.30000000000001</v>
      </c>
      <c r="E229" s="64">
        <v>158.5</v>
      </c>
      <c r="F229" s="64">
        <v>136</v>
      </c>
      <c r="G229" s="64">
        <v>142.5</v>
      </c>
      <c r="H229" s="64">
        <v>122</v>
      </c>
      <c r="I229" s="64">
        <v>146.5</v>
      </c>
      <c r="J229" s="64">
        <v>143</v>
      </c>
      <c r="K229" s="64">
        <v>124.9</v>
      </c>
      <c r="L229" s="64">
        <v>109.9</v>
      </c>
      <c r="M229" s="64">
        <v>139.9</v>
      </c>
      <c r="N229" s="64">
        <v>134</v>
      </c>
      <c r="O229" s="64">
        <v>155.5</v>
      </c>
      <c r="P229" s="64">
        <v>140.9</v>
      </c>
      <c r="Q229" s="64">
        <v>164.1</v>
      </c>
      <c r="R229" s="64">
        <v>148.4</v>
      </c>
      <c r="S229" s="64">
        <v>140.4</v>
      </c>
      <c r="T229" s="64">
        <v>147.30000000000001</v>
      </c>
      <c r="U229" s="64">
        <v>150.1</v>
      </c>
      <c r="V229" s="64">
        <v>140.30000000000001</v>
      </c>
      <c r="W229" s="64">
        <v>143.69999999999999</v>
      </c>
      <c r="X229" s="64">
        <v>146.9</v>
      </c>
      <c r="Y229" s="64">
        <v>124.9</v>
      </c>
      <c r="Z229" s="64">
        <v>139.19999999999999</v>
      </c>
      <c r="AA229" s="64">
        <v>151.6</v>
      </c>
      <c r="AB229" s="64">
        <v>133.4</v>
      </c>
      <c r="AC229" s="64">
        <v>138.19999999999999</v>
      </c>
      <c r="AD229" s="64">
        <v>142</v>
      </c>
    </row>
    <row r="230" spans="1:30">
      <c r="A230" s="64" t="s">
        <v>30</v>
      </c>
      <c r="B230" s="64">
        <v>2019</v>
      </c>
      <c r="C230" s="64" t="s">
        <v>39</v>
      </c>
      <c r="D230" s="64">
        <v>137.80000000000001</v>
      </c>
      <c r="E230" s="64">
        <v>163.5</v>
      </c>
      <c r="F230" s="64">
        <v>136.19999999999999</v>
      </c>
      <c r="G230" s="64">
        <v>143.19999999999999</v>
      </c>
      <c r="H230" s="64">
        <v>124.3</v>
      </c>
      <c r="I230" s="64">
        <v>143.30000000000001</v>
      </c>
      <c r="J230" s="64">
        <v>140.6</v>
      </c>
      <c r="K230" s="64">
        <v>128.69999999999999</v>
      </c>
      <c r="L230" s="64">
        <v>110.6</v>
      </c>
      <c r="M230" s="64">
        <v>140.4</v>
      </c>
      <c r="N230" s="64">
        <v>138</v>
      </c>
      <c r="O230" s="64">
        <v>156.6</v>
      </c>
      <c r="P230" s="64">
        <v>141</v>
      </c>
      <c r="Q230" s="64">
        <v>164.2</v>
      </c>
      <c r="R230" s="64">
        <v>151.4</v>
      </c>
      <c r="S230" s="64">
        <v>146.5</v>
      </c>
      <c r="T230" s="64">
        <v>150.69999999999999</v>
      </c>
      <c r="U230" s="64">
        <v>149.4</v>
      </c>
      <c r="V230" s="64">
        <v>147.80000000000001</v>
      </c>
      <c r="W230" s="64">
        <v>149.6</v>
      </c>
      <c r="X230" s="64">
        <v>151.69999999999999</v>
      </c>
      <c r="Y230" s="64">
        <v>130.19999999999999</v>
      </c>
      <c r="Z230" s="64">
        <v>146.4</v>
      </c>
      <c r="AA230" s="64">
        <v>157.69999999999999</v>
      </c>
      <c r="AB230" s="64">
        <v>134.80000000000001</v>
      </c>
      <c r="AC230" s="64">
        <v>143.30000000000001</v>
      </c>
      <c r="AD230" s="64">
        <v>143.6</v>
      </c>
    </row>
    <row r="231" spans="1:30">
      <c r="A231" s="64" t="s">
        <v>33</v>
      </c>
      <c r="B231" s="64">
        <v>2019</v>
      </c>
      <c r="C231" s="64" t="s">
        <v>39</v>
      </c>
      <c r="D231" s="64">
        <v>140.69999999999999</v>
      </c>
      <c r="E231" s="64">
        <v>159.6</v>
      </c>
      <c r="F231" s="64">
        <v>140.4</v>
      </c>
      <c r="G231" s="64">
        <v>143.4</v>
      </c>
      <c r="H231" s="64">
        <v>118.6</v>
      </c>
      <c r="I231" s="64">
        <v>150.9</v>
      </c>
      <c r="J231" s="64">
        <v>169.8</v>
      </c>
      <c r="K231" s="64">
        <v>127.4</v>
      </c>
      <c r="L231" s="64">
        <v>111.8</v>
      </c>
      <c r="M231" s="64">
        <v>141</v>
      </c>
      <c r="N231" s="64">
        <v>129</v>
      </c>
      <c r="O231" s="64">
        <v>155.1</v>
      </c>
      <c r="P231" s="64">
        <v>145.6</v>
      </c>
      <c r="Q231" s="64">
        <v>166.7</v>
      </c>
      <c r="R231" s="64">
        <v>144.30000000000001</v>
      </c>
      <c r="S231" s="64">
        <v>131.69999999999999</v>
      </c>
      <c r="T231" s="64">
        <v>142.4</v>
      </c>
      <c r="U231" s="64">
        <v>149.4</v>
      </c>
      <c r="V231" s="64">
        <v>130.5</v>
      </c>
      <c r="W231" s="64">
        <v>137.4</v>
      </c>
      <c r="X231" s="64">
        <v>140.30000000000001</v>
      </c>
      <c r="Y231" s="64">
        <v>119.6</v>
      </c>
      <c r="Z231" s="64">
        <v>134.30000000000001</v>
      </c>
      <c r="AA231" s="64">
        <v>148.9</v>
      </c>
      <c r="AB231" s="64">
        <v>133.69999999999999</v>
      </c>
      <c r="AC231" s="64">
        <v>133.6</v>
      </c>
      <c r="AD231" s="64">
        <v>142.1</v>
      </c>
    </row>
    <row r="232" spans="1:30">
      <c r="A232" s="64" t="s">
        <v>34</v>
      </c>
      <c r="B232" s="64">
        <v>2019</v>
      </c>
      <c r="C232" s="64" t="s">
        <v>39</v>
      </c>
      <c r="D232" s="64">
        <v>138.69999999999999</v>
      </c>
      <c r="E232" s="64">
        <v>162.1</v>
      </c>
      <c r="F232" s="64">
        <v>137.80000000000001</v>
      </c>
      <c r="G232" s="64">
        <v>143.30000000000001</v>
      </c>
      <c r="H232" s="64">
        <v>122.2</v>
      </c>
      <c r="I232" s="64">
        <v>146.80000000000001</v>
      </c>
      <c r="J232" s="64">
        <v>150.5</v>
      </c>
      <c r="K232" s="64">
        <v>128.30000000000001</v>
      </c>
      <c r="L232" s="64">
        <v>111</v>
      </c>
      <c r="M232" s="64">
        <v>140.6</v>
      </c>
      <c r="N232" s="64">
        <v>134.19999999999999</v>
      </c>
      <c r="O232" s="64">
        <v>155.9</v>
      </c>
      <c r="P232" s="64">
        <v>142.69999999999999</v>
      </c>
      <c r="Q232" s="64">
        <v>164.9</v>
      </c>
      <c r="R232" s="64">
        <v>148.6</v>
      </c>
      <c r="S232" s="64">
        <v>140.4</v>
      </c>
      <c r="T232" s="64">
        <v>147.4</v>
      </c>
      <c r="U232" s="64">
        <v>149.4</v>
      </c>
      <c r="V232" s="64">
        <v>141.19999999999999</v>
      </c>
      <c r="W232" s="64">
        <v>143.80000000000001</v>
      </c>
      <c r="X232" s="64">
        <v>147.4</v>
      </c>
      <c r="Y232" s="64">
        <v>124.6</v>
      </c>
      <c r="Z232" s="64">
        <v>139.6</v>
      </c>
      <c r="AA232" s="64">
        <v>152.5</v>
      </c>
      <c r="AB232" s="64">
        <v>134.30000000000001</v>
      </c>
      <c r="AC232" s="64">
        <v>138.6</v>
      </c>
      <c r="AD232" s="64">
        <v>142.9</v>
      </c>
    </row>
    <row r="233" spans="1:30">
      <c r="A233" s="64" t="s">
        <v>30</v>
      </c>
      <c r="B233" s="64">
        <v>2019</v>
      </c>
      <c r="C233" s="64" t="s">
        <v>40</v>
      </c>
      <c r="D233" s="64">
        <v>138.4</v>
      </c>
      <c r="E233" s="64">
        <v>164</v>
      </c>
      <c r="F233" s="64">
        <v>138.4</v>
      </c>
      <c r="G233" s="64">
        <v>143.9</v>
      </c>
      <c r="H233" s="64">
        <v>124.4</v>
      </c>
      <c r="I233" s="64">
        <v>146.4</v>
      </c>
      <c r="J233" s="64">
        <v>150.1</v>
      </c>
      <c r="K233" s="64">
        <v>130.6</v>
      </c>
      <c r="L233" s="64">
        <v>110.8</v>
      </c>
      <c r="M233" s="64">
        <v>141.69999999999999</v>
      </c>
      <c r="N233" s="64">
        <v>138.5</v>
      </c>
      <c r="O233" s="64">
        <v>156.69999999999999</v>
      </c>
      <c r="P233" s="64">
        <v>143</v>
      </c>
      <c r="Q233" s="64">
        <v>164.5</v>
      </c>
      <c r="R233" s="64">
        <v>151.6</v>
      </c>
      <c r="S233" s="64">
        <v>146.6</v>
      </c>
      <c r="T233" s="64">
        <v>150.9</v>
      </c>
      <c r="U233" s="64">
        <v>150.6</v>
      </c>
      <c r="V233" s="64">
        <v>146.80000000000001</v>
      </c>
      <c r="W233" s="64">
        <v>150</v>
      </c>
      <c r="X233" s="64">
        <v>152.19999999999999</v>
      </c>
      <c r="Y233" s="64">
        <v>131.19999999999999</v>
      </c>
      <c r="Z233" s="64">
        <v>147.5</v>
      </c>
      <c r="AA233" s="64">
        <v>159.1</v>
      </c>
      <c r="AB233" s="64">
        <v>136.1</v>
      </c>
      <c r="AC233" s="64">
        <v>144.19999999999999</v>
      </c>
      <c r="AD233" s="64">
        <v>144.9</v>
      </c>
    </row>
    <row r="234" spans="1:30">
      <c r="A234" s="64" t="s">
        <v>33</v>
      </c>
      <c r="B234" s="64">
        <v>2019</v>
      </c>
      <c r="C234" s="64" t="s">
        <v>40</v>
      </c>
      <c r="D234" s="64">
        <v>141.4</v>
      </c>
      <c r="E234" s="64">
        <v>160.19999999999999</v>
      </c>
      <c r="F234" s="64">
        <v>142.5</v>
      </c>
      <c r="G234" s="64">
        <v>144.1</v>
      </c>
      <c r="H234" s="64">
        <v>119.3</v>
      </c>
      <c r="I234" s="64">
        <v>154.69999999999999</v>
      </c>
      <c r="J234" s="64">
        <v>180.1</v>
      </c>
      <c r="K234" s="64">
        <v>128.9</v>
      </c>
      <c r="L234" s="64">
        <v>111.8</v>
      </c>
      <c r="M234" s="64">
        <v>141.6</v>
      </c>
      <c r="N234" s="64">
        <v>129.5</v>
      </c>
      <c r="O234" s="64">
        <v>155.6</v>
      </c>
      <c r="P234" s="64">
        <v>147.69999999999999</v>
      </c>
      <c r="Q234" s="64">
        <v>167.2</v>
      </c>
      <c r="R234" s="64">
        <v>144.69999999999999</v>
      </c>
      <c r="S234" s="64">
        <v>131.9</v>
      </c>
      <c r="T234" s="64">
        <v>142.69999999999999</v>
      </c>
      <c r="U234" s="64">
        <v>150.6</v>
      </c>
      <c r="V234" s="64">
        <v>127</v>
      </c>
      <c r="W234" s="64">
        <v>137.69999999999999</v>
      </c>
      <c r="X234" s="64">
        <v>140.80000000000001</v>
      </c>
      <c r="Y234" s="64">
        <v>120.6</v>
      </c>
      <c r="Z234" s="64">
        <v>135</v>
      </c>
      <c r="AA234" s="64">
        <v>150.4</v>
      </c>
      <c r="AB234" s="64">
        <v>135.1</v>
      </c>
      <c r="AC234" s="64">
        <v>134.5</v>
      </c>
      <c r="AD234" s="64">
        <v>143.30000000000001</v>
      </c>
    </row>
    <row r="235" spans="1:30">
      <c r="A235" s="64" t="s">
        <v>34</v>
      </c>
      <c r="B235" s="64">
        <v>2019</v>
      </c>
      <c r="C235" s="64" t="s">
        <v>40</v>
      </c>
      <c r="D235" s="64">
        <v>139.30000000000001</v>
      </c>
      <c r="E235" s="64">
        <v>162.69999999999999</v>
      </c>
      <c r="F235" s="64">
        <v>140</v>
      </c>
      <c r="G235" s="64">
        <v>144</v>
      </c>
      <c r="H235" s="64">
        <v>122.5</v>
      </c>
      <c r="I235" s="64">
        <v>150.30000000000001</v>
      </c>
      <c r="J235" s="64">
        <v>160.30000000000001</v>
      </c>
      <c r="K235" s="64">
        <v>130</v>
      </c>
      <c r="L235" s="64">
        <v>111.1</v>
      </c>
      <c r="M235" s="64">
        <v>141.69999999999999</v>
      </c>
      <c r="N235" s="64">
        <v>134.69999999999999</v>
      </c>
      <c r="O235" s="64">
        <v>156.19999999999999</v>
      </c>
      <c r="P235" s="64">
        <v>144.69999999999999</v>
      </c>
      <c r="Q235" s="64">
        <v>165.2</v>
      </c>
      <c r="R235" s="64">
        <v>148.9</v>
      </c>
      <c r="S235" s="64">
        <v>140.5</v>
      </c>
      <c r="T235" s="64">
        <v>147.6</v>
      </c>
      <c r="U235" s="64">
        <v>150.6</v>
      </c>
      <c r="V235" s="64">
        <v>139.30000000000001</v>
      </c>
      <c r="W235" s="64">
        <v>144.19999999999999</v>
      </c>
      <c r="X235" s="64">
        <v>147.9</v>
      </c>
      <c r="Y235" s="64">
        <v>125.6</v>
      </c>
      <c r="Z235" s="64">
        <v>140.5</v>
      </c>
      <c r="AA235" s="64">
        <v>154</v>
      </c>
      <c r="AB235" s="64">
        <v>135.69999999999999</v>
      </c>
      <c r="AC235" s="64">
        <v>139.5</v>
      </c>
      <c r="AD235" s="64">
        <v>144.19999999999999</v>
      </c>
    </row>
    <row r="236" spans="1:30">
      <c r="A236" s="64" t="s">
        <v>30</v>
      </c>
      <c r="B236" s="64">
        <v>2019</v>
      </c>
      <c r="C236" s="64" t="s">
        <v>41</v>
      </c>
      <c r="D236" s="64">
        <v>139.19999999999999</v>
      </c>
      <c r="E236" s="64">
        <v>161.9</v>
      </c>
      <c r="F236" s="64">
        <v>137.1</v>
      </c>
      <c r="G236" s="64">
        <v>144.6</v>
      </c>
      <c r="H236" s="64">
        <v>124.7</v>
      </c>
      <c r="I236" s="64">
        <v>145.5</v>
      </c>
      <c r="J236" s="64">
        <v>156.19999999999999</v>
      </c>
      <c r="K236" s="64">
        <v>131.5</v>
      </c>
      <c r="L236" s="64">
        <v>111.7</v>
      </c>
      <c r="M236" s="64">
        <v>142.69999999999999</v>
      </c>
      <c r="N236" s="64">
        <v>138.5</v>
      </c>
      <c r="O236" s="64">
        <v>156.9</v>
      </c>
      <c r="P236" s="64">
        <v>144</v>
      </c>
      <c r="Q236" s="64">
        <v>165.1</v>
      </c>
      <c r="R236" s="64">
        <v>151.80000000000001</v>
      </c>
      <c r="S236" s="64">
        <v>146.6</v>
      </c>
      <c r="T236" s="64">
        <v>151.1</v>
      </c>
      <c r="U236" s="64">
        <v>151.6</v>
      </c>
      <c r="V236" s="64">
        <v>146.4</v>
      </c>
      <c r="W236" s="64">
        <v>150.19999999999999</v>
      </c>
      <c r="X236" s="64">
        <v>152.69999999999999</v>
      </c>
      <c r="Y236" s="64">
        <v>131.4</v>
      </c>
      <c r="Z236" s="64">
        <v>148</v>
      </c>
      <c r="AA236" s="64">
        <v>159.69999999999999</v>
      </c>
      <c r="AB236" s="64">
        <v>138.80000000000001</v>
      </c>
      <c r="AC236" s="64">
        <v>144.9</v>
      </c>
      <c r="AD236" s="64">
        <v>145.69999999999999</v>
      </c>
    </row>
    <row r="237" spans="1:30">
      <c r="A237" s="64" t="s">
        <v>33</v>
      </c>
      <c r="B237" s="64">
        <v>2019</v>
      </c>
      <c r="C237" s="64" t="s">
        <v>41</v>
      </c>
      <c r="D237" s="64">
        <v>142.1</v>
      </c>
      <c r="E237" s="64">
        <v>158.30000000000001</v>
      </c>
      <c r="F237" s="64">
        <v>140.80000000000001</v>
      </c>
      <c r="G237" s="64">
        <v>144.9</v>
      </c>
      <c r="H237" s="64">
        <v>119.9</v>
      </c>
      <c r="I237" s="64">
        <v>153.9</v>
      </c>
      <c r="J237" s="64">
        <v>189.1</v>
      </c>
      <c r="K237" s="64">
        <v>129.80000000000001</v>
      </c>
      <c r="L237" s="64">
        <v>112.7</v>
      </c>
      <c r="M237" s="64">
        <v>142.5</v>
      </c>
      <c r="N237" s="64">
        <v>129.80000000000001</v>
      </c>
      <c r="O237" s="64">
        <v>156.19999999999999</v>
      </c>
      <c r="P237" s="64">
        <v>149.1</v>
      </c>
      <c r="Q237" s="64">
        <v>167.9</v>
      </c>
      <c r="R237" s="64">
        <v>145</v>
      </c>
      <c r="S237" s="64">
        <v>132.19999999999999</v>
      </c>
      <c r="T237" s="64">
        <v>143</v>
      </c>
      <c r="U237" s="64">
        <v>151.6</v>
      </c>
      <c r="V237" s="64">
        <v>125.5</v>
      </c>
      <c r="W237" s="64">
        <v>138.1</v>
      </c>
      <c r="X237" s="64">
        <v>141.5</v>
      </c>
      <c r="Y237" s="64">
        <v>120.8</v>
      </c>
      <c r="Z237" s="64">
        <v>135.4</v>
      </c>
      <c r="AA237" s="64">
        <v>151.5</v>
      </c>
      <c r="AB237" s="64">
        <v>137.80000000000001</v>
      </c>
      <c r="AC237" s="64">
        <v>135.30000000000001</v>
      </c>
      <c r="AD237" s="64">
        <v>144.19999999999999</v>
      </c>
    </row>
    <row r="238" spans="1:30">
      <c r="A238" s="64" t="s">
        <v>34</v>
      </c>
      <c r="B238" s="64">
        <v>2019</v>
      </c>
      <c r="C238" s="64" t="s">
        <v>41</v>
      </c>
      <c r="D238" s="64">
        <v>140.1</v>
      </c>
      <c r="E238" s="64">
        <v>160.6</v>
      </c>
      <c r="F238" s="64">
        <v>138.5</v>
      </c>
      <c r="G238" s="64">
        <v>144.69999999999999</v>
      </c>
      <c r="H238" s="64">
        <v>122.9</v>
      </c>
      <c r="I238" s="64">
        <v>149.4</v>
      </c>
      <c r="J238" s="64">
        <v>167.4</v>
      </c>
      <c r="K238" s="64">
        <v>130.9</v>
      </c>
      <c r="L238" s="64">
        <v>112</v>
      </c>
      <c r="M238" s="64">
        <v>142.6</v>
      </c>
      <c r="N238" s="64">
        <v>134.9</v>
      </c>
      <c r="O238" s="64">
        <v>156.6</v>
      </c>
      <c r="P238" s="64">
        <v>145.9</v>
      </c>
      <c r="Q238" s="64">
        <v>165.8</v>
      </c>
      <c r="R238" s="64">
        <v>149.1</v>
      </c>
      <c r="S238" s="64">
        <v>140.6</v>
      </c>
      <c r="T238" s="64">
        <v>147.9</v>
      </c>
      <c r="U238" s="64">
        <v>151.6</v>
      </c>
      <c r="V238" s="64">
        <v>138.5</v>
      </c>
      <c r="W238" s="64">
        <v>144.5</v>
      </c>
      <c r="X238" s="64">
        <v>148.5</v>
      </c>
      <c r="Y238" s="64">
        <v>125.8</v>
      </c>
      <c r="Z238" s="64">
        <v>140.9</v>
      </c>
      <c r="AA238" s="64">
        <v>154.9</v>
      </c>
      <c r="AB238" s="64">
        <v>138.4</v>
      </c>
      <c r="AC238" s="64">
        <v>140.19999999999999</v>
      </c>
      <c r="AD238" s="64">
        <v>145</v>
      </c>
    </row>
    <row r="239" spans="1:30">
      <c r="A239" s="64" t="s">
        <v>30</v>
      </c>
      <c r="B239" s="64">
        <v>2019</v>
      </c>
      <c r="C239" s="64" t="s">
        <v>42</v>
      </c>
      <c r="D239" s="64">
        <v>140.1</v>
      </c>
      <c r="E239" s="64">
        <v>161.9</v>
      </c>
      <c r="F239" s="64">
        <v>138.30000000000001</v>
      </c>
      <c r="G239" s="64">
        <v>145.69999999999999</v>
      </c>
      <c r="H239" s="64">
        <v>125.1</v>
      </c>
      <c r="I239" s="64">
        <v>143.80000000000001</v>
      </c>
      <c r="J239" s="64">
        <v>163.4</v>
      </c>
      <c r="K239" s="64">
        <v>132.19999999999999</v>
      </c>
      <c r="L239" s="64">
        <v>112.8</v>
      </c>
      <c r="M239" s="64">
        <v>144.19999999999999</v>
      </c>
      <c r="N239" s="64">
        <v>138.5</v>
      </c>
      <c r="O239" s="64">
        <v>157.19999999999999</v>
      </c>
      <c r="P239" s="64">
        <v>145.5</v>
      </c>
      <c r="Q239" s="64">
        <v>165.7</v>
      </c>
      <c r="R239" s="64">
        <v>151.69999999999999</v>
      </c>
      <c r="S239" s="64">
        <v>146.6</v>
      </c>
      <c r="T239" s="64">
        <v>151</v>
      </c>
      <c r="U239" s="64">
        <v>152.19999999999999</v>
      </c>
      <c r="V239" s="64">
        <v>146.9</v>
      </c>
      <c r="W239" s="64">
        <v>150.30000000000001</v>
      </c>
      <c r="X239" s="64">
        <v>153.4</v>
      </c>
      <c r="Y239" s="64">
        <v>131.6</v>
      </c>
      <c r="Z239" s="64">
        <v>148.30000000000001</v>
      </c>
      <c r="AA239" s="64">
        <v>160.19999999999999</v>
      </c>
      <c r="AB239" s="64">
        <v>140.19999999999999</v>
      </c>
      <c r="AC239" s="64">
        <v>145.4</v>
      </c>
      <c r="AD239" s="64">
        <v>146.69999999999999</v>
      </c>
    </row>
    <row r="240" spans="1:30">
      <c r="A240" s="64" t="s">
        <v>33</v>
      </c>
      <c r="B240" s="64">
        <v>2019</v>
      </c>
      <c r="C240" s="64" t="s">
        <v>42</v>
      </c>
      <c r="D240" s="64">
        <v>142.69999999999999</v>
      </c>
      <c r="E240" s="64">
        <v>158.69999999999999</v>
      </c>
      <c r="F240" s="64">
        <v>141.6</v>
      </c>
      <c r="G240" s="64">
        <v>144.9</v>
      </c>
      <c r="H240" s="64">
        <v>120.8</v>
      </c>
      <c r="I240" s="64">
        <v>149.80000000000001</v>
      </c>
      <c r="J240" s="64">
        <v>192.4</v>
      </c>
      <c r="K240" s="64">
        <v>130.30000000000001</v>
      </c>
      <c r="L240" s="64">
        <v>114</v>
      </c>
      <c r="M240" s="64">
        <v>143.80000000000001</v>
      </c>
      <c r="N240" s="64">
        <v>130</v>
      </c>
      <c r="O240" s="64">
        <v>156.4</v>
      </c>
      <c r="P240" s="64">
        <v>149.5</v>
      </c>
      <c r="Q240" s="64">
        <v>168.6</v>
      </c>
      <c r="R240" s="64">
        <v>145.30000000000001</v>
      </c>
      <c r="S240" s="64">
        <v>132.19999999999999</v>
      </c>
      <c r="T240" s="64">
        <v>143.30000000000001</v>
      </c>
      <c r="U240" s="64">
        <v>152.19999999999999</v>
      </c>
      <c r="V240" s="64">
        <v>126.6</v>
      </c>
      <c r="W240" s="64">
        <v>138.30000000000001</v>
      </c>
      <c r="X240" s="64">
        <v>141.9</v>
      </c>
      <c r="Y240" s="64">
        <v>121.2</v>
      </c>
      <c r="Z240" s="64">
        <v>135.9</v>
      </c>
      <c r="AA240" s="64">
        <v>151.6</v>
      </c>
      <c r="AB240" s="64">
        <v>139</v>
      </c>
      <c r="AC240" s="64">
        <v>135.69999999999999</v>
      </c>
      <c r="AD240" s="64">
        <v>144.69999999999999</v>
      </c>
    </row>
    <row r="241" spans="1:30">
      <c r="A241" s="64" t="s">
        <v>34</v>
      </c>
      <c r="B241" s="64">
        <v>2019</v>
      </c>
      <c r="C241" s="64" t="s">
        <v>42</v>
      </c>
      <c r="D241" s="64">
        <v>140.9</v>
      </c>
      <c r="E241" s="64">
        <v>160.80000000000001</v>
      </c>
      <c r="F241" s="64">
        <v>139.6</v>
      </c>
      <c r="G241" s="64">
        <v>145.4</v>
      </c>
      <c r="H241" s="64">
        <v>123.5</v>
      </c>
      <c r="I241" s="64">
        <v>146.6</v>
      </c>
      <c r="J241" s="64">
        <v>173.2</v>
      </c>
      <c r="K241" s="64">
        <v>131.6</v>
      </c>
      <c r="L241" s="64">
        <v>113.2</v>
      </c>
      <c r="M241" s="64">
        <v>144.1</v>
      </c>
      <c r="N241" s="64">
        <v>135</v>
      </c>
      <c r="O241" s="64">
        <v>156.80000000000001</v>
      </c>
      <c r="P241" s="64">
        <v>147</v>
      </c>
      <c r="Q241" s="64">
        <v>166.5</v>
      </c>
      <c r="R241" s="64">
        <v>149.19999999999999</v>
      </c>
      <c r="S241" s="64">
        <v>140.6</v>
      </c>
      <c r="T241" s="64">
        <v>147.9</v>
      </c>
      <c r="U241" s="64">
        <v>152.19999999999999</v>
      </c>
      <c r="V241" s="64">
        <v>139.19999999999999</v>
      </c>
      <c r="W241" s="64">
        <v>144.6</v>
      </c>
      <c r="X241" s="64">
        <v>149</v>
      </c>
      <c r="Y241" s="64">
        <v>126.1</v>
      </c>
      <c r="Z241" s="64">
        <v>141.30000000000001</v>
      </c>
      <c r="AA241" s="64">
        <v>155.19999999999999</v>
      </c>
      <c r="AB241" s="64">
        <v>139.69999999999999</v>
      </c>
      <c r="AC241" s="64">
        <v>140.69999999999999</v>
      </c>
      <c r="AD241" s="64">
        <v>145.80000000000001</v>
      </c>
    </row>
    <row r="242" spans="1:30">
      <c r="A242" s="64" t="s">
        <v>30</v>
      </c>
      <c r="B242" s="64">
        <v>2019</v>
      </c>
      <c r="C242" s="64" t="s">
        <v>43</v>
      </c>
      <c r="D242" s="64">
        <v>141</v>
      </c>
      <c r="E242" s="64">
        <v>161.6</v>
      </c>
      <c r="F242" s="64">
        <v>141.19999999999999</v>
      </c>
      <c r="G242" s="64">
        <v>146.5</v>
      </c>
      <c r="H242" s="64">
        <v>125.6</v>
      </c>
      <c r="I242" s="64">
        <v>145.69999999999999</v>
      </c>
      <c r="J242" s="64">
        <v>178.8</v>
      </c>
      <c r="K242" s="64">
        <v>133.1</v>
      </c>
      <c r="L242" s="64">
        <v>113.6</v>
      </c>
      <c r="M242" s="64">
        <v>145.5</v>
      </c>
      <c r="N242" s="64">
        <v>138.6</v>
      </c>
      <c r="O242" s="64">
        <v>157.4</v>
      </c>
      <c r="P242" s="64">
        <v>148.30000000000001</v>
      </c>
      <c r="Q242" s="64">
        <v>166.3</v>
      </c>
      <c r="R242" s="64">
        <v>151.69999999999999</v>
      </c>
      <c r="S242" s="64">
        <v>146.69999999999999</v>
      </c>
      <c r="T242" s="64">
        <v>151</v>
      </c>
      <c r="U242" s="64">
        <v>153</v>
      </c>
      <c r="V242" s="64">
        <v>147.69999999999999</v>
      </c>
      <c r="W242" s="64">
        <v>150.6</v>
      </c>
      <c r="X242" s="64">
        <v>153.69999999999999</v>
      </c>
      <c r="Y242" s="64">
        <v>131.69999999999999</v>
      </c>
      <c r="Z242" s="64">
        <v>148.69999999999999</v>
      </c>
      <c r="AA242" s="64">
        <v>160.69999999999999</v>
      </c>
      <c r="AB242" s="64">
        <v>140.30000000000001</v>
      </c>
      <c r="AC242" s="64">
        <v>145.69999999999999</v>
      </c>
      <c r="AD242" s="64">
        <v>148.30000000000001</v>
      </c>
    </row>
    <row r="243" spans="1:30">
      <c r="A243" s="64" t="s">
        <v>33</v>
      </c>
      <c r="B243" s="64">
        <v>2019</v>
      </c>
      <c r="C243" s="64" t="s">
        <v>43</v>
      </c>
      <c r="D243" s="64">
        <v>143.5</v>
      </c>
      <c r="E243" s="64">
        <v>159.80000000000001</v>
      </c>
      <c r="F243" s="64">
        <v>144.69999999999999</v>
      </c>
      <c r="G243" s="64">
        <v>145.6</v>
      </c>
      <c r="H243" s="64">
        <v>121.1</v>
      </c>
      <c r="I243" s="64">
        <v>150.6</v>
      </c>
      <c r="J243" s="64">
        <v>207.2</v>
      </c>
      <c r="K243" s="64">
        <v>131.19999999999999</v>
      </c>
      <c r="L243" s="64">
        <v>114.8</v>
      </c>
      <c r="M243" s="64">
        <v>145.19999999999999</v>
      </c>
      <c r="N243" s="64">
        <v>130.19999999999999</v>
      </c>
      <c r="O243" s="64">
        <v>156.80000000000001</v>
      </c>
      <c r="P243" s="64">
        <v>151.9</v>
      </c>
      <c r="Q243" s="64">
        <v>169.3</v>
      </c>
      <c r="R243" s="64">
        <v>145.9</v>
      </c>
      <c r="S243" s="64">
        <v>132.4</v>
      </c>
      <c r="T243" s="64">
        <v>143.9</v>
      </c>
      <c r="U243" s="64">
        <v>153</v>
      </c>
      <c r="V243" s="64">
        <v>128.9</v>
      </c>
      <c r="W243" s="64">
        <v>138.69999999999999</v>
      </c>
      <c r="X243" s="64">
        <v>142.4</v>
      </c>
      <c r="Y243" s="64">
        <v>121.5</v>
      </c>
      <c r="Z243" s="64">
        <v>136.19999999999999</v>
      </c>
      <c r="AA243" s="64">
        <v>151.69999999999999</v>
      </c>
      <c r="AB243" s="64">
        <v>139.5</v>
      </c>
      <c r="AC243" s="64">
        <v>136</v>
      </c>
      <c r="AD243" s="64">
        <v>146</v>
      </c>
    </row>
    <row r="244" spans="1:30">
      <c r="A244" s="64" t="s">
        <v>34</v>
      </c>
      <c r="B244" s="64">
        <v>2019</v>
      </c>
      <c r="C244" s="64" t="s">
        <v>43</v>
      </c>
      <c r="D244" s="64">
        <v>141.80000000000001</v>
      </c>
      <c r="E244" s="64">
        <v>161</v>
      </c>
      <c r="F244" s="64">
        <v>142.6</v>
      </c>
      <c r="G244" s="64">
        <v>146.19999999999999</v>
      </c>
      <c r="H244" s="64">
        <v>123.9</v>
      </c>
      <c r="I244" s="64">
        <v>148</v>
      </c>
      <c r="J244" s="64">
        <v>188.4</v>
      </c>
      <c r="K244" s="64">
        <v>132.5</v>
      </c>
      <c r="L244" s="64">
        <v>114</v>
      </c>
      <c r="M244" s="64">
        <v>145.4</v>
      </c>
      <c r="N244" s="64">
        <v>135.1</v>
      </c>
      <c r="O244" s="64">
        <v>157.1</v>
      </c>
      <c r="P244" s="64">
        <v>149.6</v>
      </c>
      <c r="Q244" s="64">
        <v>167.1</v>
      </c>
      <c r="R244" s="64">
        <v>149.4</v>
      </c>
      <c r="S244" s="64">
        <v>140.80000000000001</v>
      </c>
      <c r="T244" s="64">
        <v>148.19999999999999</v>
      </c>
      <c r="U244" s="64">
        <v>153</v>
      </c>
      <c r="V244" s="64">
        <v>140.6</v>
      </c>
      <c r="W244" s="64">
        <v>145</v>
      </c>
      <c r="X244" s="64">
        <v>149.4</v>
      </c>
      <c r="Y244" s="64">
        <v>126.3</v>
      </c>
      <c r="Z244" s="64">
        <v>141.69999999999999</v>
      </c>
      <c r="AA244" s="64">
        <v>155.4</v>
      </c>
      <c r="AB244" s="64">
        <v>140</v>
      </c>
      <c r="AC244" s="64">
        <v>141</v>
      </c>
      <c r="AD244" s="64">
        <v>147.19999999999999</v>
      </c>
    </row>
    <row r="245" spans="1:30">
      <c r="A245" s="64" t="s">
        <v>30</v>
      </c>
      <c r="B245" s="64">
        <v>2019</v>
      </c>
      <c r="C245" s="64" t="s">
        <v>45</v>
      </c>
      <c r="D245" s="64">
        <v>141.80000000000001</v>
      </c>
      <c r="E245" s="64">
        <v>163.69999999999999</v>
      </c>
      <c r="F245" s="64">
        <v>143.80000000000001</v>
      </c>
      <c r="G245" s="64">
        <v>147.1</v>
      </c>
      <c r="H245" s="64">
        <v>126</v>
      </c>
      <c r="I245" s="64">
        <v>146.19999999999999</v>
      </c>
      <c r="J245" s="64">
        <v>191.4</v>
      </c>
      <c r="K245" s="64">
        <v>136.19999999999999</v>
      </c>
      <c r="L245" s="64">
        <v>113.8</v>
      </c>
      <c r="M245" s="64">
        <v>147.30000000000001</v>
      </c>
      <c r="N245" s="64">
        <v>138.69999999999999</v>
      </c>
      <c r="O245" s="64">
        <v>157.69999999999999</v>
      </c>
      <c r="P245" s="64">
        <v>150.9</v>
      </c>
      <c r="Q245" s="64">
        <v>167.2</v>
      </c>
      <c r="R245" s="64">
        <v>152.30000000000001</v>
      </c>
      <c r="S245" s="64">
        <v>147</v>
      </c>
      <c r="T245" s="64">
        <v>151.5</v>
      </c>
      <c r="U245" s="64">
        <v>153.5</v>
      </c>
      <c r="V245" s="64">
        <v>148.4</v>
      </c>
      <c r="W245" s="64">
        <v>150.9</v>
      </c>
      <c r="X245" s="64">
        <v>154.30000000000001</v>
      </c>
      <c r="Y245" s="64">
        <v>132.1</v>
      </c>
      <c r="Z245" s="64">
        <v>149.1</v>
      </c>
      <c r="AA245" s="64">
        <v>160.80000000000001</v>
      </c>
      <c r="AB245" s="64">
        <v>140.6</v>
      </c>
      <c r="AC245" s="64">
        <v>146.1</v>
      </c>
      <c r="AD245" s="64">
        <v>149.9</v>
      </c>
    </row>
    <row r="246" spans="1:30">
      <c r="A246" s="64" t="s">
        <v>33</v>
      </c>
      <c r="B246" s="64">
        <v>2019</v>
      </c>
      <c r="C246" s="64" t="s">
        <v>45</v>
      </c>
      <c r="D246" s="64">
        <v>144.1</v>
      </c>
      <c r="E246" s="64">
        <v>162.4</v>
      </c>
      <c r="F246" s="64">
        <v>148.4</v>
      </c>
      <c r="G246" s="64">
        <v>145.9</v>
      </c>
      <c r="H246" s="64">
        <v>121.5</v>
      </c>
      <c r="I246" s="64">
        <v>148.80000000000001</v>
      </c>
      <c r="J246" s="64">
        <v>215.7</v>
      </c>
      <c r="K246" s="64">
        <v>134.6</v>
      </c>
      <c r="L246" s="64">
        <v>115</v>
      </c>
      <c r="M246" s="64">
        <v>146.30000000000001</v>
      </c>
      <c r="N246" s="64">
        <v>130.5</v>
      </c>
      <c r="O246" s="64">
        <v>157.19999999999999</v>
      </c>
      <c r="P246" s="64">
        <v>153.6</v>
      </c>
      <c r="Q246" s="64">
        <v>169.9</v>
      </c>
      <c r="R246" s="64">
        <v>146.30000000000001</v>
      </c>
      <c r="S246" s="64">
        <v>132.6</v>
      </c>
      <c r="T246" s="64">
        <v>144.19999999999999</v>
      </c>
      <c r="U246" s="64">
        <v>153.5</v>
      </c>
      <c r="V246" s="64">
        <v>132.19999999999999</v>
      </c>
      <c r="W246" s="64">
        <v>139.1</v>
      </c>
      <c r="X246" s="64">
        <v>142.80000000000001</v>
      </c>
      <c r="Y246" s="64">
        <v>121.7</v>
      </c>
      <c r="Z246" s="64">
        <v>136.69999999999999</v>
      </c>
      <c r="AA246" s="64">
        <v>151.80000000000001</v>
      </c>
      <c r="AB246" s="64">
        <v>139.80000000000001</v>
      </c>
      <c r="AC246" s="64">
        <v>136.30000000000001</v>
      </c>
      <c r="AD246" s="64">
        <v>147</v>
      </c>
    </row>
    <row r="247" spans="1:30">
      <c r="A247" s="64" t="s">
        <v>34</v>
      </c>
      <c r="B247" s="64">
        <v>2019</v>
      </c>
      <c r="C247" s="64" t="s">
        <v>45</v>
      </c>
      <c r="D247" s="64">
        <v>142.5</v>
      </c>
      <c r="E247" s="64">
        <v>163.19999999999999</v>
      </c>
      <c r="F247" s="64">
        <v>145.6</v>
      </c>
      <c r="G247" s="64">
        <v>146.69999999999999</v>
      </c>
      <c r="H247" s="64">
        <v>124.3</v>
      </c>
      <c r="I247" s="64">
        <v>147.4</v>
      </c>
      <c r="J247" s="64">
        <v>199.6</v>
      </c>
      <c r="K247" s="64">
        <v>135.69999999999999</v>
      </c>
      <c r="L247" s="64">
        <v>114.2</v>
      </c>
      <c r="M247" s="64">
        <v>147</v>
      </c>
      <c r="N247" s="64">
        <v>135.30000000000001</v>
      </c>
      <c r="O247" s="64">
        <v>157.5</v>
      </c>
      <c r="P247" s="64">
        <v>151.9</v>
      </c>
      <c r="Q247" s="64">
        <v>167.9</v>
      </c>
      <c r="R247" s="64">
        <v>149.9</v>
      </c>
      <c r="S247" s="64">
        <v>141</v>
      </c>
      <c r="T247" s="64">
        <v>148.6</v>
      </c>
      <c r="U247" s="64">
        <v>153.5</v>
      </c>
      <c r="V247" s="64">
        <v>142.30000000000001</v>
      </c>
      <c r="W247" s="64">
        <v>145.30000000000001</v>
      </c>
      <c r="X247" s="64">
        <v>149.9</v>
      </c>
      <c r="Y247" s="64">
        <v>126.6</v>
      </c>
      <c r="Z247" s="64">
        <v>142.1</v>
      </c>
      <c r="AA247" s="64">
        <v>155.5</v>
      </c>
      <c r="AB247" s="64">
        <v>140.30000000000001</v>
      </c>
      <c r="AC247" s="64">
        <v>141.30000000000001</v>
      </c>
      <c r="AD247" s="64">
        <v>148.6</v>
      </c>
    </row>
    <row r="248" spans="1:30">
      <c r="A248" s="64" t="s">
        <v>30</v>
      </c>
      <c r="B248" s="64">
        <v>2019</v>
      </c>
      <c r="C248" s="64" t="s">
        <v>46</v>
      </c>
      <c r="D248" s="64">
        <v>142.80000000000001</v>
      </c>
      <c r="E248" s="64">
        <v>165.3</v>
      </c>
      <c r="F248" s="64">
        <v>149.5</v>
      </c>
      <c r="G248" s="64">
        <v>148.69999999999999</v>
      </c>
      <c r="H248" s="64">
        <v>127.5</v>
      </c>
      <c r="I248" s="64">
        <v>144.30000000000001</v>
      </c>
      <c r="J248" s="64">
        <v>209.5</v>
      </c>
      <c r="K248" s="64">
        <v>138.80000000000001</v>
      </c>
      <c r="L248" s="64">
        <v>113.6</v>
      </c>
      <c r="M248" s="64">
        <v>149.1</v>
      </c>
      <c r="N248" s="64">
        <v>139.30000000000001</v>
      </c>
      <c r="O248" s="64">
        <v>158.30000000000001</v>
      </c>
      <c r="P248" s="64">
        <v>154.30000000000001</v>
      </c>
      <c r="Q248" s="64">
        <v>167.8</v>
      </c>
      <c r="R248" s="64">
        <v>152.6</v>
      </c>
      <c r="S248" s="64">
        <v>147.30000000000001</v>
      </c>
      <c r="T248" s="64">
        <v>151.9</v>
      </c>
      <c r="U248" s="64">
        <v>152.80000000000001</v>
      </c>
      <c r="V248" s="64">
        <v>149.9</v>
      </c>
      <c r="W248" s="64">
        <v>151.19999999999999</v>
      </c>
      <c r="X248" s="64">
        <v>154.80000000000001</v>
      </c>
      <c r="Y248" s="64">
        <v>135</v>
      </c>
      <c r="Z248" s="64">
        <v>149.5</v>
      </c>
      <c r="AA248" s="64">
        <v>161.1</v>
      </c>
      <c r="AB248" s="64">
        <v>140.6</v>
      </c>
      <c r="AC248" s="64">
        <v>147.1</v>
      </c>
      <c r="AD248" s="64">
        <v>152.30000000000001</v>
      </c>
    </row>
    <row r="249" spans="1:30">
      <c r="A249" s="64" t="s">
        <v>33</v>
      </c>
      <c r="B249" s="64">
        <v>2019</v>
      </c>
      <c r="C249" s="64" t="s">
        <v>46</v>
      </c>
      <c r="D249" s="64">
        <v>144.9</v>
      </c>
      <c r="E249" s="64">
        <v>164.5</v>
      </c>
      <c r="F249" s="64">
        <v>153.69999999999999</v>
      </c>
      <c r="G249" s="64">
        <v>147.5</v>
      </c>
      <c r="H249" s="64">
        <v>122.7</v>
      </c>
      <c r="I249" s="64">
        <v>147.19999999999999</v>
      </c>
      <c r="J249" s="64">
        <v>231.5</v>
      </c>
      <c r="K249" s="64">
        <v>137.19999999999999</v>
      </c>
      <c r="L249" s="64">
        <v>114.7</v>
      </c>
      <c r="M249" s="64">
        <v>148</v>
      </c>
      <c r="N249" s="64">
        <v>130.80000000000001</v>
      </c>
      <c r="O249" s="64">
        <v>157.69999999999999</v>
      </c>
      <c r="P249" s="64">
        <v>156.30000000000001</v>
      </c>
      <c r="Q249" s="64">
        <v>170.4</v>
      </c>
      <c r="R249" s="64">
        <v>146.80000000000001</v>
      </c>
      <c r="S249" s="64">
        <v>132.80000000000001</v>
      </c>
      <c r="T249" s="64">
        <v>144.6</v>
      </c>
      <c r="U249" s="64">
        <v>152.80000000000001</v>
      </c>
      <c r="V249" s="64">
        <v>133.6</v>
      </c>
      <c r="W249" s="64">
        <v>139.80000000000001</v>
      </c>
      <c r="X249" s="64">
        <v>143.19999999999999</v>
      </c>
      <c r="Y249" s="64">
        <v>125.2</v>
      </c>
      <c r="Z249" s="64">
        <v>136.80000000000001</v>
      </c>
      <c r="AA249" s="64">
        <v>151.9</v>
      </c>
      <c r="AB249" s="64">
        <v>140.19999999999999</v>
      </c>
      <c r="AC249" s="64">
        <v>137.69999999999999</v>
      </c>
      <c r="AD249" s="64">
        <v>148.30000000000001</v>
      </c>
    </row>
    <row r="250" spans="1:30">
      <c r="A250" s="64" t="s">
        <v>34</v>
      </c>
      <c r="B250" s="64">
        <v>2019</v>
      </c>
      <c r="C250" s="64" t="s">
        <v>46</v>
      </c>
      <c r="D250" s="64">
        <v>143.5</v>
      </c>
      <c r="E250" s="64">
        <v>165</v>
      </c>
      <c r="F250" s="64">
        <v>151.1</v>
      </c>
      <c r="G250" s="64">
        <v>148.30000000000001</v>
      </c>
      <c r="H250" s="64">
        <v>125.7</v>
      </c>
      <c r="I250" s="64">
        <v>145.69999999999999</v>
      </c>
      <c r="J250" s="64">
        <v>217</v>
      </c>
      <c r="K250" s="64">
        <v>138.30000000000001</v>
      </c>
      <c r="L250" s="64">
        <v>114</v>
      </c>
      <c r="M250" s="64">
        <v>148.69999999999999</v>
      </c>
      <c r="N250" s="64">
        <v>135.80000000000001</v>
      </c>
      <c r="O250" s="64">
        <v>158</v>
      </c>
      <c r="P250" s="64">
        <v>155</v>
      </c>
      <c r="Q250" s="64">
        <v>168.5</v>
      </c>
      <c r="R250" s="64">
        <v>150.30000000000001</v>
      </c>
      <c r="S250" s="64">
        <v>141.30000000000001</v>
      </c>
      <c r="T250" s="64">
        <v>149</v>
      </c>
      <c r="U250" s="64">
        <v>152.80000000000001</v>
      </c>
      <c r="V250" s="64">
        <v>143.69999999999999</v>
      </c>
      <c r="W250" s="64">
        <v>145.80000000000001</v>
      </c>
      <c r="X250" s="64">
        <v>150.4</v>
      </c>
      <c r="Y250" s="64">
        <v>129.80000000000001</v>
      </c>
      <c r="Z250" s="64">
        <v>142.30000000000001</v>
      </c>
      <c r="AA250" s="64">
        <v>155.69999999999999</v>
      </c>
      <c r="AB250" s="64">
        <v>140.4</v>
      </c>
      <c r="AC250" s="64">
        <v>142.5</v>
      </c>
      <c r="AD250" s="64">
        <v>150.4</v>
      </c>
    </row>
    <row r="251" spans="1:30">
      <c r="A251" s="64" t="s">
        <v>30</v>
      </c>
      <c r="B251" s="64">
        <v>2020</v>
      </c>
      <c r="C251" s="64" t="s">
        <v>31</v>
      </c>
      <c r="D251" s="64">
        <v>143.69999999999999</v>
      </c>
      <c r="E251" s="64">
        <v>167.3</v>
      </c>
      <c r="F251" s="64">
        <v>153.5</v>
      </c>
      <c r="G251" s="64">
        <v>150.5</v>
      </c>
      <c r="H251" s="64">
        <v>132</v>
      </c>
      <c r="I251" s="64">
        <v>142.19999999999999</v>
      </c>
      <c r="J251" s="64">
        <v>191.5</v>
      </c>
      <c r="K251" s="64">
        <v>141.1</v>
      </c>
      <c r="L251" s="64">
        <v>113.8</v>
      </c>
      <c r="M251" s="64">
        <v>151.6</v>
      </c>
      <c r="N251" s="64">
        <v>139.69999999999999</v>
      </c>
      <c r="O251" s="64">
        <v>158.69999999999999</v>
      </c>
      <c r="P251" s="64">
        <v>153</v>
      </c>
      <c r="Q251" s="64">
        <v>168.6</v>
      </c>
      <c r="R251" s="64">
        <v>152.80000000000001</v>
      </c>
      <c r="S251" s="64">
        <v>147.4</v>
      </c>
      <c r="T251" s="64">
        <v>152.1</v>
      </c>
      <c r="U251" s="64">
        <v>153.9</v>
      </c>
      <c r="V251" s="64">
        <v>150.4</v>
      </c>
      <c r="W251" s="64">
        <v>151.69999999999999</v>
      </c>
      <c r="X251" s="64">
        <v>155.69999999999999</v>
      </c>
      <c r="Y251" s="64">
        <v>136.30000000000001</v>
      </c>
      <c r="Z251" s="64">
        <v>150.1</v>
      </c>
      <c r="AA251" s="64">
        <v>161.69999999999999</v>
      </c>
      <c r="AB251" s="64">
        <v>142.5</v>
      </c>
      <c r="AC251" s="64">
        <v>148.1</v>
      </c>
      <c r="AD251" s="64">
        <v>151.9</v>
      </c>
    </row>
    <row r="252" spans="1:30">
      <c r="A252" s="64" t="s">
        <v>33</v>
      </c>
      <c r="B252" s="64">
        <v>2020</v>
      </c>
      <c r="C252" s="64" t="s">
        <v>31</v>
      </c>
      <c r="D252" s="64">
        <v>145.6</v>
      </c>
      <c r="E252" s="64">
        <v>167.6</v>
      </c>
      <c r="F252" s="64">
        <v>157</v>
      </c>
      <c r="G252" s="64">
        <v>149.30000000000001</v>
      </c>
      <c r="H252" s="64">
        <v>126.3</v>
      </c>
      <c r="I252" s="64">
        <v>144.4</v>
      </c>
      <c r="J252" s="64">
        <v>207.8</v>
      </c>
      <c r="K252" s="64">
        <v>139.1</v>
      </c>
      <c r="L252" s="64">
        <v>114.8</v>
      </c>
      <c r="M252" s="64">
        <v>149.5</v>
      </c>
      <c r="N252" s="64">
        <v>131.1</v>
      </c>
      <c r="O252" s="64">
        <v>158.5</v>
      </c>
      <c r="P252" s="64">
        <v>154.4</v>
      </c>
      <c r="Q252" s="64">
        <v>170.8</v>
      </c>
      <c r="R252" s="64">
        <v>147</v>
      </c>
      <c r="S252" s="64">
        <v>133.19999999999999</v>
      </c>
      <c r="T252" s="64">
        <v>144.9</v>
      </c>
      <c r="U252" s="64">
        <v>153.9</v>
      </c>
      <c r="V252" s="64">
        <v>135.1</v>
      </c>
      <c r="W252" s="64">
        <v>140.1</v>
      </c>
      <c r="X252" s="64">
        <v>143.80000000000001</v>
      </c>
      <c r="Y252" s="64">
        <v>126.1</v>
      </c>
      <c r="Z252" s="64">
        <v>137.19999999999999</v>
      </c>
      <c r="AA252" s="64">
        <v>152.1</v>
      </c>
      <c r="AB252" s="64">
        <v>142.1</v>
      </c>
      <c r="AC252" s="64">
        <v>138.4</v>
      </c>
      <c r="AD252" s="64">
        <v>148.19999999999999</v>
      </c>
    </row>
    <row r="253" spans="1:30">
      <c r="A253" s="64" t="s">
        <v>34</v>
      </c>
      <c r="B253" s="64">
        <v>2020</v>
      </c>
      <c r="C253" s="64" t="s">
        <v>31</v>
      </c>
      <c r="D253" s="64">
        <v>144.30000000000001</v>
      </c>
      <c r="E253" s="64">
        <v>167.4</v>
      </c>
      <c r="F253" s="64">
        <v>154.9</v>
      </c>
      <c r="G253" s="64">
        <v>150.1</v>
      </c>
      <c r="H253" s="64">
        <v>129.9</v>
      </c>
      <c r="I253" s="64">
        <v>143.19999999999999</v>
      </c>
      <c r="J253" s="64">
        <v>197</v>
      </c>
      <c r="K253" s="64">
        <v>140.4</v>
      </c>
      <c r="L253" s="64">
        <v>114.1</v>
      </c>
      <c r="M253" s="64">
        <v>150.9</v>
      </c>
      <c r="N253" s="64">
        <v>136.1</v>
      </c>
      <c r="O253" s="64">
        <v>158.6</v>
      </c>
      <c r="P253" s="64">
        <v>153.5</v>
      </c>
      <c r="Q253" s="64">
        <v>169.2</v>
      </c>
      <c r="R253" s="64">
        <v>150.5</v>
      </c>
      <c r="S253" s="64">
        <v>141.5</v>
      </c>
      <c r="T253" s="64">
        <v>149.19999999999999</v>
      </c>
      <c r="U253" s="64">
        <v>153.9</v>
      </c>
      <c r="V253" s="64">
        <v>144.6</v>
      </c>
      <c r="W253" s="64">
        <v>146.19999999999999</v>
      </c>
      <c r="X253" s="64">
        <v>151.19999999999999</v>
      </c>
      <c r="Y253" s="64">
        <v>130.9</v>
      </c>
      <c r="Z253" s="64">
        <v>142.80000000000001</v>
      </c>
      <c r="AA253" s="64">
        <v>156.1</v>
      </c>
      <c r="AB253" s="64">
        <v>142.30000000000001</v>
      </c>
      <c r="AC253" s="64">
        <v>143.4</v>
      </c>
      <c r="AD253" s="64">
        <v>150.19999999999999</v>
      </c>
    </row>
    <row r="254" spans="1:30">
      <c r="A254" s="64" t="s">
        <v>30</v>
      </c>
      <c r="B254" s="64">
        <v>2020</v>
      </c>
      <c r="C254" s="64" t="s">
        <v>35</v>
      </c>
      <c r="D254" s="64">
        <v>144.19999999999999</v>
      </c>
      <c r="E254" s="64">
        <v>167.5</v>
      </c>
      <c r="F254" s="64">
        <v>150.9</v>
      </c>
      <c r="G254" s="64">
        <v>150.9</v>
      </c>
      <c r="H254" s="64">
        <v>133.69999999999999</v>
      </c>
      <c r="I254" s="64">
        <v>140.69999999999999</v>
      </c>
      <c r="J254" s="64">
        <v>165.1</v>
      </c>
      <c r="K254" s="64">
        <v>141.80000000000001</v>
      </c>
      <c r="L254" s="64">
        <v>113.1</v>
      </c>
      <c r="M254" s="64">
        <v>152.80000000000001</v>
      </c>
      <c r="N254" s="64">
        <v>140.1</v>
      </c>
      <c r="O254" s="64">
        <v>159.19999999999999</v>
      </c>
      <c r="P254" s="64">
        <v>149.80000000000001</v>
      </c>
      <c r="Q254" s="64">
        <v>169.4</v>
      </c>
      <c r="R254" s="64">
        <v>153</v>
      </c>
      <c r="S254" s="64">
        <v>147.5</v>
      </c>
      <c r="T254" s="64">
        <v>152.30000000000001</v>
      </c>
      <c r="U254" s="64">
        <v>154.80000000000001</v>
      </c>
      <c r="V254" s="64">
        <v>152.30000000000001</v>
      </c>
      <c r="W254" s="64">
        <v>151.80000000000001</v>
      </c>
      <c r="X254" s="64">
        <v>156.19999999999999</v>
      </c>
      <c r="Y254" s="64">
        <v>136</v>
      </c>
      <c r="Z254" s="64">
        <v>150.4</v>
      </c>
      <c r="AA254" s="64">
        <v>161.9</v>
      </c>
      <c r="AB254" s="64">
        <v>143.4</v>
      </c>
      <c r="AC254" s="64">
        <v>148.4</v>
      </c>
      <c r="AD254" s="64">
        <v>150.4</v>
      </c>
    </row>
    <row r="255" spans="1:30">
      <c r="A255" s="64" t="s">
        <v>33</v>
      </c>
      <c r="B255" s="64">
        <v>2020</v>
      </c>
      <c r="C255" s="64" t="s">
        <v>35</v>
      </c>
      <c r="D255" s="64">
        <v>146.19999999999999</v>
      </c>
      <c r="E255" s="64">
        <v>167.6</v>
      </c>
      <c r="F255" s="64">
        <v>153.1</v>
      </c>
      <c r="G255" s="64">
        <v>150.69999999999999</v>
      </c>
      <c r="H255" s="64">
        <v>127.4</v>
      </c>
      <c r="I255" s="64">
        <v>143.1</v>
      </c>
      <c r="J255" s="64">
        <v>181.7</v>
      </c>
      <c r="K255" s="64">
        <v>139.6</v>
      </c>
      <c r="L255" s="64">
        <v>114.6</v>
      </c>
      <c r="M255" s="64">
        <v>150.4</v>
      </c>
      <c r="N255" s="64">
        <v>131.5</v>
      </c>
      <c r="O255" s="64">
        <v>159</v>
      </c>
      <c r="P255" s="64">
        <v>151.69999999999999</v>
      </c>
      <c r="Q255" s="64">
        <v>172</v>
      </c>
      <c r="R255" s="64">
        <v>147.30000000000001</v>
      </c>
      <c r="S255" s="64">
        <v>133.5</v>
      </c>
      <c r="T255" s="64">
        <v>145.19999999999999</v>
      </c>
      <c r="U255" s="64">
        <v>154.80000000000001</v>
      </c>
      <c r="V255" s="64">
        <v>138.9</v>
      </c>
      <c r="W255" s="64">
        <v>140.4</v>
      </c>
      <c r="X255" s="64">
        <v>144.4</v>
      </c>
      <c r="Y255" s="64">
        <v>125.2</v>
      </c>
      <c r="Z255" s="64">
        <v>137.69999999999999</v>
      </c>
      <c r="AA255" s="64">
        <v>152.19999999999999</v>
      </c>
      <c r="AB255" s="64">
        <v>143.5</v>
      </c>
      <c r="AC255" s="64">
        <v>138.4</v>
      </c>
      <c r="AD255" s="64">
        <v>147.69999999999999</v>
      </c>
    </row>
    <row r="256" spans="1:30">
      <c r="A256" s="64" t="s">
        <v>34</v>
      </c>
      <c r="B256" s="64">
        <v>2020</v>
      </c>
      <c r="C256" s="64" t="s">
        <v>35</v>
      </c>
      <c r="D256" s="64">
        <v>144.80000000000001</v>
      </c>
      <c r="E256" s="64">
        <v>167.5</v>
      </c>
      <c r="F256" s="64">
        <v>151.80000000000001</v>
      </c>
      <c r="G256" s="64">
        <v>150.80000000000001</v>
      </c>
      <c r="H256" s="64">
        <v>131.4</v>
      </c>
      <c r="I256" s="64">
        <v>141.80000000000001</v>
      </c>
      <c r="J256" s="64">
        <v>170.7</v>
      </c>
      <c r="K256" s="64">
        <v>141.1</v>
      </c>
      <c r="L256" s="64">
        <v>113.6</v>
      </c>
      <c r="M256" s="64">
        <v>152</v>
      </c>
      <c r="N256" s="64">
        <v>136.5</v>
      </c>
      <c r="O256" s="64">
        <v>159.1</v>
      </c>
      <c r="P256" s="64">
        <v>150.5</v>
      </c>
      <c r="Q256" s="64">
        <v>170.1</v>
      </c>
      <c r="R256" s="64">
        <v>150.80000000000001</v>
      </c>
      <c r="S256" s="64">
        <v>141.69999999999999</v>
      </c>
      <c r="T256" s="64">
        <v>149.5</v>
      </c>
      <c r="U256" s="64">
        <v>154.80000000000001</v>
      </c>
      <c r="V256" s="64">
        <v>147.19999999999999</v>
      </c>
      <c r="W256" s="64">
        <v>146.4</v>
      </c>
      <c r="X256" s="64">
        <v>151.69999999999999</v>
      </c>
      <c r="Y256" s="64">
        <v>130.30000000000001</v>
      </c>
      <c r="Z256" s="64">
        <v>143.19999999999999</v>
      </c>
      <c r="AA256" s="64">
        <v>156.19999999999999</v>
      </c>
      <c r="AB256" s="64">
        <v>143.4</v>
      </c>
      <c r="AC256" s="64">
        <v>143.6</v>
      </c>
      <c r="AD256" s="64">
        <v>149.1</v>
      </c>
    </row>
    <row r="257" spans="1:30">
      <c r="A257" s="64" t="s">
        <v>30</v>
      </c>
      <c r="B257" s="64">
        <v>2020</v>
      </c>
      <c r="C257" s="64" t="s">
        <v>36</v>
      </c>
      <c r="D257" s="64">
        <v>144.4</v>
      </c>
      <c r="E257" s="64">
        <v>166.8</v>
      </c>
      <c r="F257" s="64">
        <v>147.6</v>
      </c>
      <c r="G257" s="64">
        <v>151.69999999999999</v>
      </c>
      <c r="H257" s="64">
        <v>133.30000000000001</v>
      </c>
      <c r="I257" s="64">
        <v>141.80000000000001</v>
      </c>
      <c r="J257" s="64">
        <v>152.30000000000001</v>
      </c>
      <c r="K257" s="64">
        <v>141.80000000000001</v>
      </c>
      <c r="L257" s="64">
        <v>112.6</v>
      </c>
      <c r="M257" s="64">
        <v>154</v>
      </c>
      <c r="N257" s="64">
        <v>140.1</v>
      </c>
      <c r="O257" s="64">
        <v>160</v>
      </c>
      <c r="P257" s="64">
        <v>148.19999999999999</v>
      </c>
      <c r="Q257" s="64">
        <v>170.5</v>
      </c>
      <c r="R257" s="64">
        <v>153.4</v>
      </c>
      <c r="S257" s="64">
        <v>147.6</v>
      </c>
      <c r="T257" s="64">
        <v>152.5</v>
      </c>
      <c r="U257" s="64">
        <v>154.5</v>
      </c>
      <c r="V257" s="64">
        <v>153.4</v>
      </c>
      <c r="W257" s="64">
        <v>151.5</v>
      </c>
      <c r="X257" s="64">
        <v>156.69999999999999</v>
      </c>
      <c r="Y257" s="64">
        <v>135.80000000000001</v>
      </c>
      <c r="Z257" s="64">
        <v>151.19999999999999</v>
      </c>
      <c r="AA257" s="64">
        <v>161.19999999999999</v>
      </c>
      <c r="AB257" s="64">
        <v>145.1</v>
      </c>
      <c r="AC257" s="64">
        <v>148.6</v>
      </c>
      <c r="AD257" s="64">
        <v>149.80000000000001</v>
      </c>
    </row>
    <row r="258" spans="1:30">
      <c r="A258" s="64" t="s">
        <v>33</v>
      </c>
      <c r="B258" s="64">
        <v>2020</v>
      </c>
      <c r="C258" s="64" t="s">
        <v>36</v>
      </c>
      <c r="D258" s="64">
        <v>146.5</v>
      </c>
      <c r="E258" s="64">
        <v>167.5</v>
      </c>
      <c r="F258" s="64">
        <v>148.9</v>
      </c>
      <c r="G258" s="64">
        <v>151.1</v>
      </c>
      <c r="H258" s="64">
        <v>127.5</v>
      </c>
      <c r="I258" s="64">
        <v>143.30000000000001</v>
      </c>
      <c r="J258" s="64">
        <v>167</v>
      </c>
      <c r="K258" s="64">
        <v>139.69999999999999</v>
      </c>
      <c r="L258" s="64">
        <v>114.4</v>
      </c>
      <c r="M258" s="64">
        <v>151.5</v>
      </c>
      <c r="N258" s="64">
        <v>131.9</v>
      </c>
      <c r="O258" s="64">
        <v>159.1</v>
      </c>
      <c r="P258" s="64">
        <v>150.1</v>
      </c>
      <c r="Q258" s="64">
        <v>173.3</v>
      </c>
      <c r="R258" s="64">
        <v>147.69999999999999</v>
      </c>
      <c r="S258" s="64">
        <v>133.80000000000001</v>
      </c>
      <c r="T258" s="64">
        <v>145.6</v>
      </c>
      <c r="U258" s="64">
        <v>154.5</v>
      </c>
      <c r="V258" s="64">
        <v>141.4</v>
      </c>
      <c r="W258" s="64">
        <v>140.80000000000001</v>
      </c>
      <c r="X258" s="64">
        <v>145</v>
      </c>
      <c r="Y258" s="64">
        <v>124.6</v>
      </c>
      <c r="Z258" s="64">
        <v>137.9</v>
      </c>
      <c r="AA258" s="64">
        <v>152.5</v>
      </c>
      <c r="AB258" s="64">
        <v>145.30000000000001</v>
      </c>
      <c r="AC258" s="64">
        <v>138.69999999999999</v>
      </c>
      <c r="AD258" s="64">
        <v>147.30000000000001</v>
      </c>
    </row>
    <row r="259" spans="1:30">
      <c r="A259" s="64" t="s">
        <v>34</v>
      </c>
      <c r="B259" s="64">
        <v>2020</v>
      </c>
      <c r="C259" s="64" t="s">
        <v>36</v>
      </c>
      <c r="D259" s="64">
        <v>145.1</v>
      </c>
      <c r="E259" s="64">
        <v>167</v>
      </c>
      <c r="F259" s="64">
        <v>148.1</v>
      </c>
      <c r="G259" s="64">
        <v>151.5</v>
      </c>
      <c r="H259" s="64">
        <v>131.19999999999999</v>
      </c>
      <c r="I259" s="64">
        <v>142.5</v>
      </c>
      <c r="J259" s="64">
        <v>157.30000000000001</v>
      </c>
      <c r="K259" s="64">
        <v>141.1</v>
      </c>
      <c r="L259" s="64">
        <v>113.2</v>
      </c>
      <c r="M259" s="64">
        <v>153.19999999999999</v>
      </c>
      <c r="N259" s="64">
        <v>136.69999999999999</v>
      </c>
      <c r="O259" s="64">
        <v>159.6</v>
      </c>
      <c r="P259" s="64">
        <v>148.9</v>
      </c>
      <c r="Q259" s="64">
        <v>171.2</v>
      </c>
      <c r="R259" s="64">
        <v>151.19999999999999</v>
      </c>
      <c r="S259" s="64">
        <v>141.9</v>
      </c>
      <c r="T259" s="64">
        <v>149.80000000000001</v>
      </c>
      <c r="U259" s="64">
        <v>154.5</v>
      </c>
      <c r="V259" s="64">
        <v>148.9</v>
      </c>
      <c r="W259" s="64">
        <v>146.4</v>
      </c>
      <c r="X259" s="64">
        <v>152.30000000000001</v>
      </c>
      <c r="Y259" s="64">
        <v>129.9</v>
      </c>
      <c r="Z259" s="64">
        <v>143.69999999999999</v>
      </c>
      <c r="AA259" s="64">
        <v>156.1</v>
      </c>
      <c r="AB259" s="64">
        <v>145.19999999999999</v>
      </c>
      <c r="AC259" s="64">
        <v>143.80000000000001</v>
      </c>
      <c r="AD259" s="64">
        <v>148.6</v>
      </c>
    </row>
    <row r="260" spans="1:30">
      <c r="A260" s="64" t="s">
        <v>30</v>
      </c>
      <c r="B260" s="64">
        <v>2020</v>
      </c>
      <c r="C260" s="64" t="s">
        <v>37</v>
      </c>
      <c r="D260" s="64">
        <v>147.19999999999999</v>
      </c>
      <c r="E260" s="64">
        <f>AVERAGE(E251,E254,E257)</f>
        <v>167.20000000000002</v>
      </c>
      <c r="F260" s="64">
        <v>146.9</v>
      </c>
      <c r="G260" s="64">
        <v>155.6</v>
      </c>
      <c r="H260" s="64">
        <v>137.1</v>
      </c>
      <c r="I260" s="64">
        <v>147.30000000000001</v>
      </c>
      <c r="J260" s="64">
        <v>162.69999999999999</v>
      </c>
      <c r="K260" s="64">
        <v>150.19999999999999</v>
      </c>
      <c r="L260" s="64">
        <v>119.8</v>
      </c>
      <c r="M260" s="64">
        <v>158.69999999999999</v>
      </c>
      <c r="N260" s="64">
        <v>139.19999999999999</v>
      </c>
      <c r="O260" s="64">
        <f>AVERAGE(O251,O254,O257)</f>
        <v>159.29999999999998</v>
      </c>
      <c r="P260" s="64">
        <v>150.1</v>
      </c>
      <c r="Q260" s="64">
        <f>AVERAGE(Q251,Q254,Q257)</f>
        <v>169.5</v>
      </c>
      <c r="R260" s="64">
        <f>AVERAGE(R251,R254,R257)</f>
        <v>153.06666666666669</v>
      </c>
      <c r="S260" s="64">
        <f>AVERAGE(S251,S254,S257)</f>
        <v>147.5</v>
      </c>
      <c r="T260" s="64">
        <f>AVERAGE(T251,T254,T257)</f>
        <v>152.29999999999998</v>
      </c>
      <c r="U260" s="64">
        <v>155.6</v>
      </c>
      <c r="V260" s="64">
        <v>148.4</v>
      </c>
      <c r="W260" s="64">
        <f>AVERAGE(W251,W254,W257)</f>
        <v>151.66666666666666</v>
      </c>
      <c r="X260" s="64">
        <v>154.30000000000001</v>
      </c>
      <c r="Y260" s="64">
        <f t="shared" ref="Y260:AD262" si="0">AVERAGE(Y251,Y254,Y257)</f>
        <v>136.03333333333333</v>
      </c>
      <c r="Z260" s="64">
        <f t="shared" si="0"/>
        <v>150.56666666666666</v>
      </c>
      <c r="AA260" s="64">
        <f t="shared" si="0"/>
        <v>161.6</v>
      </c>
      <c r="AB260" s="64">
        <f t="shared" si="0"/>
        <v>143.66666666666666</v>
      </c>
      <c r="AC260" s="64">
        <f t="shared" si="0"/>
        <v>148.36666666666667</v>
      </c>
      <c r="AD260" s="64">
        <f t="shared" si="0"/>
        <v>150.70000000000002</v>
      </c>
    </row>
    <row r="261" spans="1:30">
      <c r="A261" s="64" t="s">
        <v>33</v>
      </c>
      <c r="B261" s="64">
        <v>2020</v>
      </c>
      <c r="C261" s="64" t="s">
        <v>37</v>
      </c>
      <c r="D261" s="64">
        <v>151.80000000000001</v>
      </c>
      <c r="E261" s="64">
        <f>AVERAGE(E252,E255,E258)</f>
        <v>167.56666666666666</v>
      </c>
      <c r="F261" s="64">
        <v>151.9</v>
      </c>
      <c r="G261" s="64">
        <v>155.5</v>
      </c>
      <c r="H261" s="64">
        <v>131.6</v>
      </c>
      <c r="I261" s="64">
        <v>152.9</v>
      </c>
      <c r="J261" s="64">
        <v>180</v>
      </c>
      <c r="K261" s="64">
        <v>150.80000000000001</v>
      </c>
      <c r="L261" s="64">
        <v>121.2</v>
      </c>
      <c r="M261" s="64">
        <v>154</v>
      </c>
      <c r="N261" s="64">
        <v>133.5</v>
      </c>
      <c r="O261" s="64">
        <f>AVERAGE(O252,O255,O258)</f>
        <v>158.86666666666667</v>
      </c>
      <c r="P261" s="64">
        <v>153.5</v>
      </c>
      <c r="Q261" s="64">
        <f>AVERAGE(P252,P255,P258)</f>
        <v>152.06666666666669</v>
      </c>
      <c r="R261" s="64">
        <f t="shared" ref="R261:T262" si="1">AVERAGE(R252,R255,R258)</f>
        <v>147.33333333333334</v>
      </c>
      <c r="S261" s="64">
        <f t="shared" si="1"/>
        <v>133.5</v>
      </c>
      <c r="T261" s="64">
        <f t="shared" si="1"/>
        <v>145.23333333333335</v>
      </c>
      <c r="U261" s="64">
        <v>155.6</v>
      </c>
      <c r="V261" s="64">
        <v>137.1</v>
      </c>
      <c r="W261" s="64">
        <f>AVERAGE(W252,W255,W258)</f>
        <v>140.43333333333334</v>
      </c>
      <c r="X261" s="64">
        <v>144.80000000000001</v>
      </c>
      <c r="Y261" s="64">
        <f t="shared" si="0"/>
        <v>125.3</v>
      </c>
      <c r="Z261" s="64">
        <f t="shared" si="0"/>
        <v>137.6</v>
      </c>
      <c r="AA261" s="64">
        <f t="shared" si="0"/>
        <v>152.26666666666665</v>
      </c>
      <c r="AB261" s="64">
        <f t="shared" si="0"/>
        <v>143.63333333333335</v>
      </c>
      <c r="AC261" s="64">
        <f t="shared" si="0"/>
        <v>138.5</v>
      </c>
      <c r="AD261" s="64">
        <f t="shared" si="0"/>
        <v>147.73333333333332</v>
      </c>
    </row>
    <row r="262" spans="1:30">
      <c r="A262" s="64" t="s">
        <v>34</v>
      </c>
      <c r="B262" s="64">
        <v>2020</v>
      </c>
      <c r="C262" s="64" t="s">
        <v>37</v>
      </c>
      <c r="D262" s="64">
        <v>148.69999999999999</v>
      </c>
      <c r="E262" s="64">
        <f>AVERAGE(E253,E256,E259)</f>
        <v>167.29999999999998</v>
      </c>
      <c r="F262" s="64">
        <v>148.80000000000001</v>
      </c>
      <c r="G262" s="64">
        <v>155.6</v>
      </c>
      <c r="H262" s="64">
        <v>135.1</v>
      </c>
      <c r="I262" s="64">
        <v>149.9</v>
      </c>
      <c r="J262" s="64">
        <v>168.6</v>
      </c>
      <c r="K262" s="64">
        <v>150.4</v>
      </c>
      <c r="L262" s="64">
        <v>120.3</v>
      </c>
      <c r="M262" s="64">
        <v>157.1</v>
      </c>
      <c r="N262" s="64">
        <v>136.80000000000001</v>
      </c>
      <c r="O262" s="64">
        <f>AVERAGE(O253,O256,O259)</f>
        <v>159.1</v>
      </c>
      <c r="P262" s="64">
        <v>151.4</v>
      </c>
      <c r="Q262" s="64">
        <f>AVERAGE(Q253,Q256,Q259)</f>
        <v>170.16666666666666</v>
      </c>
      <c r="R262" s="64">
        <f t="shared" si="1"/>
        <v>150.83333333333334</v>
      </c>
      <c r="S262" s="64">
        <f t="shared" si="1"/>
        <v>141.70000000000002</v>
      </c>
      <c r="T262" s="64">
        <f t="shared" si="1"/>
        <v>149.5</v>
      </c>
      <c r="U262" s="64">
        <v>155.6</v>
      </c>
      <c r="V262" s="64">
        <v>144.1</v>
      </c>
      <c r="W262" s="64">
        <f>AVERAGE(W253,W256,W259)</f>
        <v>146.33333333333334</v>
      </c>
      <c r="X262" s="64">
        <v>150.69999999999999</v>
      </c>
      <c r="Y262" s="64">
        <f t="shared" si="0"/>
        <v>130.36666666666667</v>
      </c>
      <c r="Z262" s="64">
        <f t="shared" si="0"/>
        <v>143.23333333333332</v>
      </c>
      <c r="AA262" s="64">
        <f t="shared" si="0"/>
        <v>156.13333333333333</v>
      </c>
      <c r="AB262" s="64">
        <f t="shared" si="0"/>
        <v>143.63333333333335</v>
      </c>
      <c r="AC262" s="64">
        <f t="shared" si="0"/>
        <v>143.6</v>
      </c>
      <c r="AD262" s="64">
        <f t="shared" si="0"/>
        <v>149.29999999999998</v>
      </c>
    </row>
    <row r="263" spans="1:30">
      <c r="A263" s="64" t="s">
        <v>30</v>
      </c>
      <c r="B263" s="64">
        <v>2020</v>
      </c>
      <c r="C263" s="64" t="s">
        <v>38</v>
      </c>
      <c r="D263" s="64">
        <f t="shared" ref="D263:J265" si="2">AVERAGE(D251,D254,D257,D260)</f>
        <v>144.875</v>
      </c>
      <c r="E263" s="64">
        <f t="shared" si="2"/>
        <v>167.20000000000002</v>
      </c>
      <c r="F263" s="64">
        <f>AVERAGE(F251,F254,F257,F260)</f>
        <v>149.72499999999999</v>
      </c>
      <c r="G263" s="64">
        <f t="shared" si="2"/>
        <v>152.17499999999998</v>
      </c>
      <c r="H263" s="64">
        <f t="shared" si="2"/>
        <v>134.02500000000001</v>
      </c>
      <c r="I263" s="64">
        <f t="shared" si="2"/>
        <v>143</v>
      </c>
      <c r="J263" s="64">
        <f t="shared" si="2"/>
        <v>167.9</v>
      </c>
      <c r="K263" s="64">
        <f>AVERAGE(K251,K255,K258,K261)</f>
        <v>142.80000000000001</v>
      </c>
      <c r="L263" s="64">
        <f t="shared" ref="L263:T263" si="3">AVERAGE(L251,L254,L257,L260)</f>
        <v>114.825</v>
      </c>
      <c r="M263" s="64">
        <f t="shared" si="3"/>
        <v>154.27499999999998</v>
      </c>
      <c r="N263" s="64">
        <f t="shared" si="3"/>
        <v>139.77499999999998</v>
      </c>
      <c r="O263" s="64">
        <f t="shared" si="3"/>
        <v>159.29999999999998</v>
      </c>
      <c r="P263" s="64">
        <f t="shared" si="3"/>
        <v>150.27500000000001</v>
      </c>
      <c r="Q263" s="64">
        <f t="shared" si="3"/>
        <v>169.5</v>
      </c>
      <c r="R263" s="64">
        <f t="shared" si="3"/>
        <v>153.06666666666669</v>
      </c>
      <c r="S263" s="64">
        <f t="shared" si="3"/>
        <v>147.5</v>
      </c>
      <c r="T263" s="64">
        <f t="shared" si="3"/>
        <v>152.29999999999998</v>
      </c>
      <c r="U263" s="64">
        <v>154.69999999999999</v>
      </c>
      <c r="V263" s="64">
        <f t="shared" ref="V263:AD263" si="4">AVERAGE(V251,V254,V257,V260)</f>
        <v>151.125</v>
      </c>
      <c r="W263" s="64">
        <f t="shared" si="4"/>
        <v>151.66666666666666</v>
      </c>
      <c r="X263" s="64">
        <f t="shared" si="4"/>
        <v>155.72499999999999</v>
      </c>
      <c r="Y263" s="64">
        <f t="shared" si="4"/>
        <v>136.03333333333333</v>
      </c>
      <c r="Z263" s="64">
        <f t="shared" si="4"/>
        <v>150.56666666666666</v>
      </c>
      <c r="AA263" s="64">
        <f t="shared" si="4"/>
        <v>161.6</v>
      </c>
      <c r="AB263" s="64">
        <f t="shared" si="4"/>
        <v>143.66666666666666</v>
      </c>
      <c r="AC263" s="64">
        <f t="shared" si="4"/>
        <v>148.36666666666667</v>
      </c>
      <c r="AD263" s="64">
        <f t="shared" si="4"/>
        <v>150.70000000000002</v>
      </c>
    </row>
    <row r="264" spans="1:30">
      <c r="A264" s="64" t="s">
        <v>33</v>
      </c>
      <c r="B264" s="64">
        <v>2020</v>
      </c>
      <c r="C264" s="64" t="s">
        <v>38</v>
      </c>
      <c r="D264" s="64">
        <f t="shared" si="2"/>
        <v>147.52499999999998</v>
      </c>
      <c r="E264" s="64">
        <f t="shared" si="2"/>
        <v>167.56666666666666</v>
      </c>
      <c r="F264" s="64">
        <f t="shared" si="2"/>
        <v>152.72499999999999</v>
      </c>
      <c r="G264" s="64">
        <f t="shared" si="2"/>
        <v>151.65</v>
      </c>
      <c r="H264" s="64">
        <f t="shared" si="2"/>
        <v>128.19999999999999</v>
      </c>
      <c r="I264" s="64">
        <f t="shared" si="2"/>
        <v>145.92500000000001</v>
      </c>
      <c r="J264" s="64">
        <f t="shared" si="2"/>
        <v>184.125</v>
      </c>
      <c r="K264" s="64">
        <f>AVERAGE(K252,K255,K258,K261)</f>
        <v>142.30000000000001</v>
      </c>
      <c r="L264" s="64">
        <f t="shared" ref="L264:T264" si="5">AVERAGE(L252,L255,L258,L261)</f>
        <v>116.24999999999999</v>
      </c>
      <c r="M264" s="64">
        <f t="shared" si="5"/>
        <v>151.35</v>
      </c>
      <c r="N264" s="64">
        <f t="shared" si="5"/>
        <v>132</v>
      </c>
      <c r="O264" s="64">
        <f t="shared" si="5"/>
        <v>158.86666666666667</v>
      </c>
      <c r="P264" s="64">
        <f t="shared" si="5"/>
        <v>152.42500000000001</v>
      </c>
      <c r="Q264" s="64">
        <f t="shared" si="5"/>
        <v>167.04166666666669</v>
      </c>
      <c r="R264" s="64">
        <f t="shared" si="5"/>
        <v>147.33333333333334</v>
      </c>
      <c r="S264" s="64">
        <f t="shared" si="5"/>
        <v>133.5</v>
      </c>
      <c r="T264" s="64">
        <f t="shared" si="5"/>
        <v>145.23333333333335</v>
      </c>
      <c r="U264" s="64">
        <f>AVERAGE(U252,U255,U258,U261)</f>
        <v>154.70000000000002</v>
      </c>
      <c r="V264" s="64">
        <f t="shared" ref="V264:AD264" si="6">AVERAGE(V252,V255,V258,V261)</f>
        <v>138.125</v>
      </c>
      <c r="W264" s="64">
        <f t="shared" si="6"/>
        <v>140.43333333333334</v>
      </c>
      <c r="X264" s="64">
        <f t="shared" si="6"/>
        <v>144.5</v>
      </c>
      <c r="Y264" s="64">
        <f t="shared" si="6"/>
        <v>125.3</v>
      </c>
      <c r="Z264" s="64">
        <f t="shared" si="6"/>
        <v>137.6</v>
      </c>
      <c r="AA264" s="64">
        <f t="shared" si="6"/>
        <v>152.26666666666665</v>
      </c>
      <c r="AB264" s="64">
        <f t="shared" si="6"/>
        <v>143.63333333333335</v>
      </c>
      <c r="AC264" s="64">
        <f t="shared" si="6"/>
        <v>138.5</v>
      </c>
      <c r="AD264" s="64">
        <f t="shared" si="6"/>
        <v>147.73333333333332</v>
      </c>
    </row>
    <row r="265" spans="1:30">
      <c r="A265" s="64" t="s">
        <v>34</v>
      </c>
      <c r="B265" s="64">
        <v>2020</v>
      </c>
      <c r="C265" s="64" t="s">
        <v>38</v>
      </c>
      <c r="D265" s="64">
        <f t="shared" si="2"/>
        <v>145.72500000000002</v>
      </c>
      <c r="E265" s="64">
        <f t="shared" si="2"/>
        <v>167.29999999999998</v>
      </c>
      <c r="F265" s="64">
        <f t="shared" si="2"/>
        <v>150.90000000000003</v>
      </c>
      <c r="G265" s="64">
        <f t="shared" si="2"/>
        <v>152</v>
      </c>
      <c r="H265" s="64">
        <f t="shared" si="2"/>
        <v>131.9</v>
      </c>
      <c r="I265" s="64">
        <f t="shared" si="2"/>
        <v>144.35</v>
      </c>
      <c r="J265" s="64">
        <f t="shared" si="2"/>
        <v>173.4</v>
      </c>
      <c r="K265" s="64">
        <f>AVERAGE(K253,K256,K259,K262)</f>
        <v>143.25</v>
      </c>
      <c r="L265" s="64">
        <f t="shared" ref="L265:T265" si="7">AVERAGE(L253,L256,L259,L262)</f>
        <v>115.3</v>
      </c>
      <c r="M265" s="64">
        <f t="shared" si="7"/>
        <v>153.29999999999998</v>
      </c>
      <c r="N265" s="64">
        <f t="shared" si="7"/>
        <v>136.52500000000001</v>
      </c>
      <c r="O265" s="64">
        <f t="shared" si="7"/>
        <v>159.1</v>
      </c>
      <c r="P265" s="64">
        <f t="shared" si="7"/>
        <v>151.07499999999999</v>
      </c>
      <c r="Q265" s="64">
        <f t="shared" si="7"/>
        <v>170.16666666666666</v>
      </c>
      <c r="R265" s="64">
        <f t="shared" si="7"/>
        <v>150.83333333333334</v>
      </c>
      <c r="S265" s="64">
        <f t="shared" si="7"/>
        <v>141.70000000000002</v>
      </c>
      <c r="T265" s="64">
        <f t="shared" si="7"/>
        <v>149.5</v>
      </c>
      <c r="U265" s="64">
        <f>AVERAGE(U253,U256,U259,U262)</f>
        <v>154.70000000000002</v>
      </c>
      <c r="V265" s="64">
        <f t="shared" ref="V265:AD265" si="8">AVERAGE(V253,V256,V259,V262)</f>
        <v>146.19999999999999</v>
      </c>
      <c r="W265" s="64">
        <f t="shared" si="8"/>
        <v>146.33333333333334</v>
      </c>
      <c r="X265" s="64">
        <f t="shared" si="8"/>
        <v>151.47499999999999</v>
      </c>
      <c r="Y265" s="64">
        <f t="shared" si="8"/>
        <v>130.36666666666667</v>
      </c>
      <c r="Z265" s="64">
        <f t="shared" si="8"/>
        <v>143.23333333333332</v>
      </c>
      <c r="AA265" s="64">
        <f t="shared" si="8"/>
        <v>156.13333333333333</v>
      </c>
      <c r="AB265" s="64">
        <f t="shared" si="8"/>
        <v>143.63333333333335</v>
      </c>
      <c r="AC265" s="64">
        <f t="shared" si="8"/>
        <v>143.6</v>
      </c>
      <c r="AD265" s="64">
        <f t="shared" si="8"/>
        <v>149.29999999999998</v>
      </c>
    </row>
    <row r="266" spans="1:30">
      <c r="A266" s="64" t="s">
        <v>30</v>
      </c>
      <c r="B266" s="64">
        <v>2020</v>
      </c>
      <c r="C266" s="64" t="s">
        <v>39</v>
      </c>
      <c r="D266" s="64">
        <v>148.19999999999999</v>
      </c>
      <c r="E266" s="64">
        <v>190.3</v>
      </c>
      <c r="F266" s="64">
        <v>149.4</v>
      </c>
      <c r="G266" s="64">
        <v>153.30000000000001</v>
      </c>
      <c r="H266" s="64">
        <v>138.19999999999999</v>
      </c>
      <c r="I266" s="64">
        <v>143.19999999999999</v>
      </c>
      <c r="J266" s="64">
        <v>148.9</v>
      </c>
      <c r="K266" s="64">
        <v>150.30000000000001</v>
      </c>
      <c r="L266" s="64">
        <v>113.2</v>
      </c>
      <c r="M266" s="64">
        <v>159.80000000000001</v>
      </c>
      <c r="N266" s="64">
        <v>142.1</v>
      </c>
      <c r="O266" s="64">
        <v>161.80000000000001</v>
      </c>
      <c r="P266" s="64">
        <v>152.30000000000001</v>
      </c>
      <c r="Q266" s="64">
        <v>182.4</v>
      </c>
      <c r="R266" s="64">
        <v>154.69999999999999</v>
      </c>
      <c r="S266" s="64">
        <v>150</v>
      </c>
      <c r="T266" s="64">
        <v>154.1</v>
      </c>
      <c r="U266" s="64">
        <v>154.69999999999999</v>
      </c>
      <c r="V266" s="64">
        <v>144.9</v>
      </c>
      <c r="W266" s="64">
        <v>151.69999999999999</v>
      </c>
      <c r="X266" s="64">
        <v>158.19999999999999</v>
      </c>
      <c r="Y266" s="64">
        <v>141.4</v>
      </c>
      <c r="Z266" s="64">
        <v>153.19999999999999</v>
      </c>
      <c r="AA266" s="64">
        <v>161.80000000000001</v>
      </c>
      <c r="AB266" s="64">
        <v>151.19999999999999</v>
      </c>
      <c r="AC266" s="64">
        <v>151.69999999999999</v>
      </c>
      <c r="AD266" s="64">
        <v>152.69999999999999</v>
      </c>
    </row>
    <row r="267" spans="1:30">
      <c r="A267" s="64" t="s">
        <v>33</v>
      </c>
      <c r="B267" s="64">
        <v>2020</v>
      </c>
      <c r="C267" s="64" t="s">
        <v>39</v>
      </c>
      <c r="D267" s="64">
        <v>152.69999999999999</v>
      </c>
      <c r="E267" s="64">
        <v>197</v>
      </c>
      <c r="F267" s="64">
        <v>154.6</v>
      </c>
      <c r="G267" s="64">
        <v>153.4</v>
      </c>
      <c r="H267" s="64">
        <v>132.9</v>
      </c>
      <c r="I267" s="64">
        <v>151.80000000000001</v>
      </c>
      <c r="J267" s="64">
        <v>171.2</v>
      </c>
      <c r="K267" s="64">
        <v>152</v>
      </c>
      <c r="L267" s="64">
        <v>116.3</v>
      </c>
      <c r="M267" s="64">
        <v>158.80000000000001</v>
      </c>
      <c r="N267" s="64">
        <v>135.6</v>
      </c>
      <c r="O267" s="64">
        <v>161.69999999999999</v>
      </c>
      <c r="P267" s="64">
        <v>157</v>
      </c>
      <c r="Q267" s="64">
        <v>186.7</v>
      </c>
      <c r="R267" s="64">
        <v>149.1</v>
      </c>
      <c r="S267" s="64">
        <v>136.6</v>
      </c>
      <c r="T267" s="64">
        <v>147.19999999999999</v>
      </c>
      <c r="U267" s="64">
        <v>154.69999999999999</v>
      </c>
      <c r="V267" s="64">
        <v>137.1</v>
      </c>
      <c r="W267" s="64">
        <v>140.4</v>
      </c>
      <c r="X267" s="64">
        <v>148.1</v>
      </c>
      <c r="Y267" s="64">
        <v>129.30000000000001</v>
      </c>
      <c r="Z267" s="64">
        <v>144.5</v>
      </c>
      <c r="AA267" s="64">
        <v>152.5</v>
      </c>
      <c r="AB267" s="64">
        <v>152.19999999999999</v>
      </c>
      <c r="AC267" s="64">
        <v>142</v>
      </c>
      <c r="AD267" s="64">
        <v>150.80000000000001</v>
      </c>
    </row>
    <row r="268" spans="1:30">
      <c r="A268" s="64" t="s">
        <v>34</v>
      </c>
      <c r="B268" s="64">
        <v>2020</v>
      </c>
      <c r="C268" s="64" t="s">
        <v>39</v>
      </c>
      <c r="D268" s="64">
        <v>149.6</v>
      </c>
      <c r="E268" s="64">
        <v>192.7</v>
      </c>
      <c r="F268" s="64">
        <v>151.4</v>
      </c>
      <c r="G268" s="64">
        <v>153.30000000000001</v>
      </c>
      <c r="H268" s="64">
        <v>136.30000000000001</v>
      </c>
      <c r="I268" s="64">
        <v>147.19999999999999</v>
      </c>
      <c r="J268" s="64">
        <v>156.5</v>
      </c>
      <c r="K268" s="64">
        <v>150.9</v>
      </c>
      <c r="L268" s="64">
        <v>114.2</v>
      </c>
      <c r="M268" s="64">
        <v>159.5</v>
      </c>
      <c r="N268" s="64">
        <v>139.4</v>
      </c>
      <c r="O268" s="64">
        <v>161.80000000000001</v>
      </c>
      <c r="P268" s="64">
        <v>154</v>
      </c>
      <c r="Q268" s="64">
        <v>183.5</v>
      </c>
      <c r="R268" s="64">
        <v>152.5</v>
      </c>
      <c r="S268" s="64">
        <v>144.4</v>
      </c>
      <c r="T268" s="64">
        <v>151.4</v>
      </c>
      <c r="U268" s="64">
        <v>154.69999999999999</v>
      </c>
      <c r="V268" s="64">
        <v>141.9</v>
      </c>
      <c r="W268" s="64">
        <v>146.4</v>
      </c>
      <c r="X268" s="64">
        <v>154.4</v>
      </c>
      <c r="Y268" s="64">
        <v>135</v>
      </c>
      <c r="Z268" s="64">
        <v>148.30000000000001</v>
      </c>
      <c r="AA268" s="64">
        <v>156.4</v>
      </c>
      <c r="AB268" s="64">
        <v>151.6</v>
      </c>
      <c r="AC268" s="64">
        <v>147</v>
      </c>
      <c r="AD268" s="64">
        <v>151.80000000000001</v>
      </c>
    </row>
    <row r="269" spans="1:30">
      <c r="A269" s="64" t="s">
        <v>30</v>
      </c>
      <c r="B269" s="64">
        <v>2020</v>
      </c>
      <c r="C269" s="64" t="s">
        <v>40</v>
      </c>
      <c r="D269" s="64">
        <v>148.19999999999999</v>
      </c>
      <c r="E269" s="64">
        <v>190.3</v>
      </c>
      <c r="F269" s="64">
        <v>149.4</v>
      </c>
      <c r="G269" s="64">
        <v>153.30000000000001</v>
      </c>
      <c r="H269" s="64">
        <v>138.19999999999999</v>
      </c>
      <c r="I269" s="64">
        <v>143.19999999999999</v>
      </c>
      <c r="J269" s="64">
        <v>148.9</v>
      </c>
      <c r="K269" s="64">
        <v>150.30000000000001</v>
      </c>
      <c r="L269" s="64">
        <v>113.2</v>
      </c>
      <c r="M269" s="64">
        <v>159.80000000000001</v>
      </c>
      <c r="N269" s="64">
        <v>142.1</v>
      </c>
      <c r="O269" s="64">
        <v>161.80000000000001</v>
      </c>
      <c r="P269" s="64">
        <v>152.30000000000001</v>
      </c>
      <c r="Q269" s="64">
        <v>182.4</v>
      </c>
      <c r="R269" s="64">
        <v>154.69999999999999</v>
      </c>
      <c r="S269" s="64">
        <v>150</v>
      </c>
      <c r="T269" s="64">
        <v>154.1</v>
      </c>
      <c r="U269" s="64">
        <v>154.69999999999999</v>
      </c>
      <c r="V269" s="64">
        <v>144.9</v>
      </c>
      <c r="W269" s="64">
        <v>151.69999999999999</v>
      </c>
      <c r="X269" s="64">
        <v>158.19999999999999</v>
      </c>
      <c r="Y269" s="64">
        <v>141.4</v>
      </c>
      <c r="Z269" s="64">
        <v>153.19999999999999</v>
      </c>
      <c r="AA269" s="64">
        <v>161.80000000000001</v>
      </c>
      <c r="AB269" s="64">
        <v>151.19999999999999</v>
      </c>
      <c r="AC269" s="64">
        <v>151.69999999999999</v>
      </c>
      <c r="AD269" s="64">
        <v>152.69999999999999</v>
      </c>
    </row>
    <row r="270" spans="1:30">
      <c r="A270" s="64" t="s">
        <v>33</v>
      </c>
      <c r="B270" s="64">
        <v>2020</v>
      </c>
      <c r="C270" s="64" t="s">
        <v>40</v>
      </c>
      <c r="D270" s="64">
        <v>152.69999999999999</v>
      </c>
      <c r="E270" s="64">
        <v>197</v>
      </c>
      <c r="F270" s="64">
        <v>154.6</v>
      </c>
      <c r="G270" s="64">
        <v>153.4</v>
      </c>
      <c r="H270" s="64">
        <v>132.9</v>
      </c>
      <c r="I270" s="64">
        <v>151.80000000000001</v>
      </c>
      <c r="J270" s="64">
        <v>171.2</v>
      </c>
      <c r="K270" s="64">
        <v>152</v>
      </c>
      <c r="L270" s="64">
        <v>116.3</v>
      </c>
      <c r="M270" s="64">
        <v>158.80000000000001</v>
      </c>
      <c r="N270" s="64">
        <v>135.6</v>
      </c>
      <c r="O270" s="64">
        <v>161.69999999999999</v>
      </c>
      <c r="P270" s="64">
        <v>157</v>
      </c>
      <c r="Q270" s="64">
        <v>186.7</v>
      </c>
      <c r="R270" s="64">
        <v>149.1</v>
      </c>
      <c r="S270" s="64">
        <v>136.6</v>
      </c>
      <c r="T270" s="64">
        <v>147.19999999999999</v>
      </c>
      <c r="U270" s="64">
        <v>154.69999999999999</v>
      </c>
      <c r="V270" s="64">
        <v>137.1</v>
      </c>
      <c r="W270" s="64">
        <v>140.4</v>
      </c>
      <c r="X270" s="64">
        <v>148.1</v>
      </c>
      <c r="Y270" s="64">
        <v>129.30000000000001</v>
      </c>
      <c r="Z270" s="64">
        <v>144.5</v>
      </c>
      <c r="AA270" s="64">
        <v>152.5</v>
      </c>
      <c r="AB270" s="64">
        <v>152.19999999999999</v>
      </c>
      <c r="AC270" s="64">
        <v>142</v>
      </c>
      <c r="AD270" s="64">
        <v>150.80000000000001</v>
      </c>
    </row>
    <row r="271" spans="1:30">
      <c r="A271" s="64" t="s">
        <v>34</v>
      </c>
      <c r="B271" s="64">
        <v>2020</v>
      </c>
      <c r="C271" s="64" t="s">
        <v>40</v>
      </c>
      <c r="D271" s="64">
        <v>149.6</v>
      </c>
      <c r="E271" s="64">
        <v>192.7</v>
      </c>
      <c r="F271" s="64">
        <v>151.4</v>
      </c>
      <c r="G271" s="64">
        <v>153.30000000000001</v>
      </c>
      <c r="H271" s="64">
        <v>136.30000000000001</v>
      </c>
      <c r="I271" s="64">
        <v>147.19999999999999</v>
      </c>
      <c r="J271" s="64">
        <v>156.5</v>
      </c>
      <c r="K271" s="64">
        <v>150.9</v>
      </c>
      <c r="L271" s="64">
        <v>114.2</v>
      </c>
      <c r="M271" s="64">
        <v>159.5</v>
      </c>
      <c r="N271" s="64">
        <v>139.4</v>
      </c>
      <c r="O271" s="64">
        <v>161.80000000000001</v>
      </c>
      <c r="P271" s="64">
        <v>154</v>
      </c>
      <c r="Q271" s="64">
        <v>183.5</v>
      </c>
      <c r="R271" s="64">
        <v>152.5</v>
      </c>
      <c r="S271" s="64">
        <v>144.4</v>
      </c>
      <c r="T271" s="64">
        <v>151.4</v>
      </c>
      <c r="U271" s="64">
        <v>154.69999999999999</v>
      </c>
      <c r="V271" s="64">
        <v>141.9</v>
      </c>
      <c r="W271" s="64">
        <v>146.4</v>
      </c>
      <c r="X271" s="64">
        <v>154.4</v>
      </c>
      <c r="Y271" s="64">
        <v>135</v>
      </c>
      <c r="Z271" s="64">
        <v>148.30000000000001</v>
      </c>
      <c r="AA271" s="64">
        <v>156.4</v>
      </c>
      <c r="AB271" s="64">
        <v>151.6</v>
      </c>
      <c r="AC271" s="64">
        <v>147</v>
      </c>
      <c r="AD271" s="64">
        <v>151.80000000000001</v>
      </c>
    </row>
    <row r="272" spans="1:30">
      <c r="A272" s="64" t="s">
        <v>30</v>
      </c>
      <c r="B272" s="64">
        <v>2020</v>
      </c>
      <c r="C272" s="64" t="s">
        <v>41</v>
      </c>
      <c r="D272" s="64">
        <v>147.6</v>
      </c>
      <c r="E272" s="64">
        <v>187.2</v>
      </c>
      <c r="F272" s="64">
        <v>148.4</v>
      </c>
      <c r="G272" s="64">
        <v>153.30000000000001</v>
      </c>
      <c r="H272" s="64">
        <v>139.80000000000001</v>
      </c>
      <c r="I272" s="64">
        <v>146.9</v>
      </c>
      <c r="J272" s="64">
        <v>171</v>
      </c>
      <c r="K272" s="64">
        <v>149.9</v>
      </c>
      <c r="L272" s="64">
        <v>114.2</v>
      </c>
      <c r="M272" s="64">
        <v>160</v>
      </c>
      <c r="N272" s="64">
        <v>143.5</v>
      </c>
      <c r="O272" s="64">
        <v>161.5</v>
      </c>
      <c r="P272" s="64">
        <v>155.30000000000001</v>
      </c>
      <c r="Q272" s="64">
        <v>180.9</v>
      </c>
      <c r="R272" s="64">
        <v>155.1</v>
      </c>
      <c r="S272" s="64">
        <v>149.30000000000001</v>
      </c>
      <c r="T272" s="64">
        <v>154.30000000000001</v>
      </c>
      <c r="U272" s="64">
        <v>155.5</v>
      </c>
      <c r="V272" s="64">
        <v>145.80000000000001</v>
      </c>
      <c r="W272" s="64">
        <v>151.9</v>
      </c>
      <c r="X272" s="64">
        <v>158.80000000000001</v>
      </c>
      <c r="Y272" s="64">
        <v>143.6</v>
      </c>
      <c r="Z272" s="64">
        <v>152.19999999999999</v>
      </c>
      <c r="AA272" s="64">
        <v>162.69999999999999</v>
      </c>
      <c r="AB272" s="64">
        <v>153.6</v>
      </c>
      <c r="AC272" s="64">
        <v>153</v>
      </c>
      <c r="AD272" s="64">
        <v>154.69999999999999</v>
      </c>
    </row>
    <row r="273" spans="1:30">
      <c r="A273" s="64" t="s">
        <v>33</v>
      </c>
      <c r="B273" s="64">
        <v>2020</v>
      </c>
      <c r="C273" s="64" t="s">
        <v>41</v>
      </c>
      <c r="D273" s="64">
        <v>151.6</v>
      </c>
      <c r="E273" s="64">
        <v>197.8</v>
      </c>
      <c r="F273" s="64">
        <v>154.5</v>
      </c>
      <c r="G273" s="64">
        <v>153.4</v>
      </c>
      <c r="H273" s="64">
        <v>133.4</v>
      </c>
      <c r="I273" s="64">
        <v>154.5</v>
      </c>
      <c r="J273" s="64">
        <v>191.9</v>
      </c>
      <c r="K273" s="64">
        <v>151.30000000000001</v>
      </c>
      <c r="L273" s="64">
        <v>116.8</v>
      </c>
      <c r="M273" s="64">
        <v>160</v>
      </c>
      <c r="N273" s="64">
        <v>136.5</v>
      </c>
      <c r="O273" s="64">
        <v>163.30000000000001</v>
      </c>
      <c r="P273" s="64">
        <v>159.9</v>
      </c>
      <c r="Q273" s="64">
        <v>187.2</v>
      </c>
      <c r="R273" s="64">
        <v>150</v>
      </c>
      <c r="S273" s="64">
        <v>135.19999999999999</v>
      </c>
      <c r="T273" s="64">
        <v>147.80000000000001</v>
      </c>
      <c r="U273" s="64">
        <v>155.5</v>
      </c>
      <c r="V273" s="64">
        <v>138.30000000000001</v>
      </c>
      <c r="W273" s="64">
        <v>144.5</v>
      </c>
      <c r="X273" s="64">
        <v>148.69999999999999</v>
      </c>
      <c r="Y273" s="64">
        <v>133.9</v>
      </c>
      <c r="Z273" s="64">
        <v>141.19999999999999</v>
      </c>
      <c r="AA273" s="64">
        <v>155.5</v>
      </c>
      <c r="AB273" s="64">
        <v>155.19999999999999</v>
      </c>
      <c r="AC273" s="64">
        <v>144.80000000000001</v>
      </c>
      <c r="AD273" s="64">
        <v>152.9</v>
      </c>
    </row>
    <row r="274" spans="1:30">
      <c r="A274" s="64" t="s">
        <v>34</v>
      </c>
      <c r="B274" s="64">
        <v>2020</v>
      </c>
      <c r="C274" s="64" t="s">
        <v>41</v>
      </c>
      <c r="D274" s="64">
        <v>148.9</v>
      </c>
      <c r="E274" s="64">
        <v>190.9</v>
      </c>
      <c r="F274" s="64">
        <v>150.80000000000001</v>
      </c>
      <c r="G274" s="64">
        <v>153.30000000000001</v>
      </c>
      <c r="H274" s="64">
        <v>137.4</v>
      </c>
      <c r="I274" s="64">
        <v>150.4</v>
      </c>
      <c r="J274" s="64">
        <v>178.1</v>
      </c>
      <c r="K274" s="64">
        <v>150.4</v>
      </c>
      <c r="L274" s="64">
        <v>115.1</v>
      </c>
      <c r="M274" s="64">
        <v>160</v>
      </c>
      <c r="N274" s="64">
        <v>140.6</v>
      </c>
      <c r="O274" s="64">
        <v>162.30000000000001</v>
      </c>
      <c r="P274" s="64">
        <v>157</v>
      </c>
      <c r="Q274" s="64">
        <v>182.6</v>
      </c>
      <c r="R274" s="64">
        <v>153.1</v>
      </c>
      <c r="S274" s="64">
        <v>143.4</v>
      </c>
      <c r="T274" s="64">
        <v>151.69999999999999</v>
      </c>
      <c r="U274" s="64">
        <v>155.5</v>
      </c>
      <c r="V274" s="64">
        <v>143</v>
      </c>
      <c r="W274" s="64">
        <v>148.4</v>
      </c>
      <c r="X274" s="64">
        <v>155</v>
      </c>
      <c r="Y274" s="64">
        <v>138.5</v>
      </c>
      <c r="Z274" s="64">
        <v>146</v>
      </c>
      <c r="AA274" s="64">
        <v>158.5</v>
      </c>
      <c r="AB274" s="64">
        <v>154.30000000000001</v>
      </c>
      <c r="AC274" s="64">
        <v>149</v>
      </c>
      <c r="AD274" s="64">
        <v>153.9</v>
      </c>
    </row>
    <row r="275" spans="1:30">
      <c r="A275" s="64" t="s">
        <v>30</v>
      </c>
      <c r="B275" s="64">
        <v>2020</v>
      </c>
      <c r="C275" s="64" t="s">
        <v>42</v>
      </c>
      <c r="D275" s="64">
        <v>146.9</v>
      </c>
      <c r="E275" s="64">
        <v>183.9</v>
      </c>
      <c r="F275" s="64">
        <v>149.5</v>
      </c>
      <c r="G275" s="64">
        <v>153.4</v>
      </c>
      <c r="H275" s="64">
        <v>140.4</v>
      </c>
      <c r="I275" s="64">
        <v>147</v>
      </c>
      <c r="J275" s="64">
        <v>178.8</v>
      </c>
      <c r="K275" s="64">
        <v>149.30000000000001</v>
      </c>
      <c r="L275" s="64">
        <v>115.1</v>
      </c>
      <c r="M275" s="64">
        <v>160</v>
      </c>
      <c r="N275" s="64">
        <v>145.4</v>
      </c>
      <c r="O275" s="64">
        <v>161.6</v>
      </c>
      <c r="P275" s="64">
        <v>156.1</v>
      </c>
      <c r="Q275" s="64">
        <v>182.9</v>
      </c>
      <c r="R275" s="64">
        <v>155.4</v>
      </c>
      <c r="S275" s="64">
        <v>149.9</v>
      </c>
      <c r="T275" s="64">
        <v>154.6</v>
      </c>
      <c r="U275" s="64">
        <v>156.30000000000001</v>
      </c>
      <c r="V275" s="64">
        <v>146.4</v>
      </c>
      <c r="W275" s="64">
        <v>151.6</v>
      </c>
      <c r="X275" s="64">
        <v>159.1</v>
      </c>
      <c r="Y275" s="64">
        <v>144.6</v>
      </c>
      <c r="Z275" s="64">
        <v>152.80000000000001</v>
      </c>
      <c r="AA275" s="64">
        <v>161.1</v>
      </c>
      <c r="AB275" s="64">
        <v>157.4</v>
      </c>
      <c r="AC275" s="64">
        <v>153.69999999999999</v>
      </c>
      <c r="AD275" s="64">
        <v>155.4</v>
      </c>
    </row>
    <row r="276" spans="1:30">
      <c r="A276" s="64" t="s">
        <v>33</v>
      </c>
      <c r="B276" s="64">
        <v>2020</v>
      </c>
      <c r="C276" s="64" t="s">
        <v>42</v>
      </c>
      <c r="D276" s="64">
        <v>151.5</v>
      </c>
      <c r="E276" s="64">
        <v>193.1</v>
      </c>
      <c r="F276" s="64">
        <v>157.30000000000001</v>
      </c>
      <c r="G276" s="64">
        <v>153.9</v>
      </c>
      <c r="H276" s="64">
        <v>134.4</v>
      </c>
      <c r="I276" s="64">
        <v>155.4</v>
      </c>
      <c r="J276" s="64">
        <v>202</v>
      </c>
      <c r="K276" s="64">
        <v>150.80000000000001</v>
      </c>
      <c r="L276" s="64">
        <v>118.9</v>
      </c>
      <c r="M276" s="64">
        <v>160.9</v>
      </c>
      <c r="N276" s="64">
        <v>137.69999999999999</v>
      </c>
      <c r="O276" s="64">
        <v>164.4</v>
      </c>
      <c r="P276" s="64">
        <v>161.30000000000001</v>
      </c>
      <c r="Q276" s="64">
        <v>188.7</v>
      </c>
      <c r="R276" s="64">
        <v>150.19999999999999</v>
      </c>
      <c r="S276" s="64">
        <v>136.30000000000001</v>
      </c>
      <c r="T276" s="64">
        <v>148.1</v>
      </c>
      <c r="U276" s="64">
        <v>156.30000000000001</v>
      </c>
      <c r="V276" s="64">
        <v>137.19999999999999</v>
      </c>
      <c r="W276" s="64">
        <v>145.4</v>
      </c>
      <c r="X276" s="64">
        <v>150</v>
      </c>
      <c r="Y276" s="64">
        <v>135.1</v>
      </c>
      <c r="Z276" s="64">
        <v>141.80000000000001</v>
      </c>
      <c r="AA276" s="64">
        <v>154.9</v>
      </c>
      <c r="AB276" s="64">
        <v>159.80000000000001</v>
      </c>
      <c r="AC276" s="64">
        <v>146</v>
      </c>
      <c r="AD276" s="64">
        <v>154</v>
      </c>
    </row>
    <row r="277" spans="1:30">
      <c r="A277" s="64" t="s">
        <v>34</v>
      </c>
      <c r="B277" s="64">
        <v>2020</v>
      </c>
      <c r="C277" s="64" t="s">
        <v>42</v>
      </c>
      <c r="D277" s="64">
        <v>148.4</v>
      </c>
      <c r="E277" s="64">
        <v>187.1</v>
      </c>
      <c r="F277" s="64">
        <v>152.5</v>
      </c>
      <c r="G277" s="64">
        <v>153.6</v>
      </c>
      <c r="H277" s="64">
        <v>138.19999999999999</v>
      </c>
      <c r="I277" s="64">
        <v>150.9</v>
      </c>
      <c r="J277" s="64">
        <v>186.7</v>
      </c>
      <c r="K277" s="64">
        <v>149.80000000000001</v>
      </c>
      <c r="L277" s="64">
        <v>116.4</v>
      </c>
      <c r="M277" s="64">
        <v>160.30000000000001</v>
      </c>
      <c r="N277" s="64">
        <v>142.19999999999999</v>
      </c>
      <c r="O277" s="64">
        <v>162.9</v>
      </c>
      <c r="P277" s="64">
        <v>158</v>
      </c>
      <c r="Q277" s="64">
        <v>184.4</v>
      </c>
      <c r="R277" s="64">
        <v>153.4</v>
      </c>
      <c r="S277" s="64">
        <v>144.30000000000001</v>
      </c>
      <c r="T277" s="64">
        <v>152</v>
      </c>
      <c r="U277" s="64">
        <v>156.30000000000001</v>
      </c>
      <c r="V277" s="64">
        <v>142.9</v>
      </c>
      <c r="W277" s="64">
        <v>148.69999999999999</v>
      </c>
      <c r="X277" s="64">
        <v>155.6</v>
      </c>
      <c r="Y277" s="64">
        <v>139.6</v>
      </c>
      <c r="Z277" s="64">
        <v>146.6</v>
      </c>
      <c r="AA277" s="64">
        <v>157.5</v>
      </c>
      <c r="AB277" s="64">
        <v>158.4</v>
      </c>
      <c r="AC277" s="64">
        <v>150</v>
      </c>
      <c r="AD277" s="64">
        <v>154.69999999999999</v>
      </c>
    </row>
    <row r="278" spans="1:30">
      <c r="A278" s="64" t="s">
        <v>30</v>
      </c>
      <c r="B278" s="64">
        <v>2020</v>
      </c>
      <c r="C278" s="64" t="s">
        <v>43</v>
      </c>
      <c r="D278" s="64">
        <v>146</v>
      </c>
      <c r="E278" s="64">
        <v>186.3</v>
      </c>
      <c r="F278" s="64">
        <v>159.19999999999999</v>
      </c>
      <c r="G278" s="64">
        <v>153.6</v>
      </c>
      <c r="H278" s="64">
        <v>142.6</v>
      </c>
      <c r="I278" s="64">
        <v>147.19999999999999</v>
      </c>
      <c r="J278" s="64">
        <v>200.6</v>
      </c>
      <c r="K278" s="64">
        <v>150.30000000000001</v>
      </c>
      <c r="L278" s="64">
        <v>115.3</v>
      </c>
      <c r="M278" s="64">
        <v>160.9</v>
      </c>
      <c r="N278" s="64">
        <v>147.4</v>
      </c>
      <c r="O278" s="64">
        <v>161.9</v>
      </c>
      <c r="P278" s="64">
        <v>159.6</v>
      </c>
      <c r="Q278" s="64">
        <v>182.7</v>
      </c>
      <c r="R278" s="64">
        <v>155.69999999999999</v>
      </c>
      <c r="S278" s="64">
        <v>150.6</v>
      </c>
      <c r="T278" s="64">
        <v>155</v>
      </c>
      <c r="U278" s="64">
        <v>156.5</v>
      </c>
      <c r="V278" s="64">
        <v>146.80000000000001</v>
      </c>
      <c r="W278" s="64">
        <v>152</v>
      </c>
      <c r="X278" s="64">
        <v>159.5</v>
      </c>
      <c r="Y278" s="64">
        <v>146.4</v>
      </c>
      <c r="Z278" s="64">
        <v>152.4</v>
      </c>
      <c r="AA278" s="64">
        <v>162.5</v>
      </c>
      <c r="AB278" s="64">
        <v>156.19999999999999</v>
      </c>
      <c r="AC278" s="64">
        <v>154.30000000000001</v>
      </c>
      <c r="AD278" s="64">
        <v>157.5</v>
      </c>
    </row>
    <row r="279" spans="1:30">
      <c r="A279" s="64" t="s">
        <v>33</v>
      </c>
      <c r="B279" s="64">
        <v>2020</v>
      </c>
      <c r="C279" s="64" t="s">
        <v>43</v>
      </c>
      <c r="D279" s="64">
        <v>150.6</v>
      </c>
      <c r="E279" s="64">
        <v>193.7</v>
      </c>
      <c r="F279" s="64">
        <v>164.8</v>
      </c>
      <c r="G279" s="64">
        <v>153.69999999999999</v>
      </c>
      <c r="H279" s="64">
        <v>135.69999999999999</v>
      </c>
      <c r="I279" s="64">
        <v>155.69999999999999</v>
      </c>
      <c r="J279" s="64">
        <v>226</v>
      </c>
      <c r="K279" s="64">
        <v>152.19999999999999</v>
      </c>
      <c r="L279" s="64">
        <v>118.1</v>
      </c>
      <c r="M279" s="64">
        <v>161.30000000000001</v>
      </c>
      <c r="N279" s="64">
        <v>139.19999999999999</v>
      </c>
      <c r="O279" s="64">
        <v>164.8</v>
      </c>
      <c r="P279" s="64">
        <v>164.4</v>
      </c>
      <c r="Q279" s="64">
        <v>188.7</v>
      </c>
      <c r="R279" s="64">
        <v>150.5</v>
      </c>
      <c r="S279" s="64">
        <v>136.1</v>
      </c>
      <c r="T279" s="64">
        <v>148.30000000000001</v>
      </c>
      <c r="U279" s="64">
        <v>156.5</v>
      </c>
      <c r="V279" s="64">
        <v>137.1</v>
      </c>
      <c r="W279" s="64">
        <v>145.1</v>
      </c>
      <c r="X279" s="64">
        <v>151</v>
      </c>
      <c r="Y279" s="64">
        <v>135.4</v>
      </c>
      <c r="Z279" s="64">
        <v>142</v>
      </c>
      <c r="AA279" s="64">
        <v>155.69999999999999</v>
      </c>
      <c r="AB279" s="64">
        <v>158.1</v>
      </c>
      <c r="AC279" s="64">
        <v>146.19999999999999</v>
      </c>
      <c r="AD279" s="64">
        <v>155.19999999999999</v>
      </c>
    </row>
    <row r="280" spans="1:30">
      <c r="A280" s="64" t="s">
        <v>34</v>
      </c>
      <c r="B280" s="64">
        <v>2020</v>
      </c>
      <c r="C280" s="64" t="s">
        <v>43</v>
      </c>
      <c r="D280" s="64">
        <v>147.5</v>
      </c>
      <c r="E280" s="64">
        <v>188.9</v>
      </c>
      <c r="F280" s="64">
        <v>161.4</v>
      </c>
      <c r="G280" s="64">
        <v>153.6</v>
      </c>
      <c r="H280" s="64">
        <v>140.1</v>
      </c>
      <c r="I280" s="64">
        <v>151.19999999999999</v>
      </c>
      <c r="J280" s="64">
        <v>209.2</v>
      </c>
      <c r="K280" s="64">
        <v>150.9</v>
      </c>
      <c r="L280" s="64">
        <v>116.2</v>
      </c>
      <c r="M280" s="64">
        <v>161</v>
      </c>
      <c r="N280" s="64">
        <v>144</v>
      </c>
      <c r="O280" s="64">
        <v>163.19999999999999</v>
      </c>
      <c r="P280" s="64">
        <v>161.4</v>
      </c>
      <c r="Q280" s="64">
        <v>184.3</v>
      </c>
      <c r="R280" s="64">
        <v>153.69999999999999</v>
      </c>
      <c r="S280" s="64">
        <v>144.6</v>
      </c>
      <c r="T280" s="64">
        <v>152.30000000000001</v>
      </c>
      <c r="U280" s="64">
        <v>156.5</v>
      </c>
      <c r="V280" s="64">
        <v>143.1</v>
      </c>
      <c r="W280" s="64">
        <v>148.69999999999999</v>
      </c>
      <c r="X280" s="64">
        <v>156.30000000000001</v>
      </c>
      <c r="Y280" s="64">
        <v>140.6</v>
      </c>
      <c r="Z280" s="64">
        <v>146.5</v>
      </c>
      <c r="AA280" s="64">
        <v>158.5</v>
      </c>
      <c r="AB280" s="64">
        <v>157</v>
      </c>
      <c r="AC280" s="64">
        <v>150.4</v>
      </c>
      <c r="AD280" s="64">
        <v>156.4</v>
      </c>
    </row>
    <row r="281" spans="1:30">
      <c r="A281" s="64" t="s">
        <v>30</v>
      </c>
      <c r="B281" s="64">
        <v>2020</v>
      </c>
      <c r="C281" s="64" t="s">
        <v>45</v>
      </c>
      <c r="D281" s="64">
        <v>145.4</v>
      </c>
      <c r="E281" s="64">
        <v>188.6</v>
      </c>
      <c r="F281" s="64">
        <v>171.6</v>
      </c>
      <c r="G281" s="64">
        <v>153.80000000000001</v>
      </c>
      <c r="H281" s="64">
        <v>145.4</v>
      </c>
      <c r="I281" s="64">
        <v>146.5</v>
      </c>
      <c r="J281" s="64">
        <v>222.2</v>
      </c>
      <c r="K281" s="64">
        <v>155.9</v>
      </c>
      <c r="L281" s="64">
        <v>114.9</v>
      </c>
      <c r="M281" s="64">
        <v>162</v>
      </c>
      <c r="N281" s="64">
        <v>150</v>
      </c>
      <c r="O281" s="64">
        <v>162.69999999999999</v>
      </c>
      <c r="P281" s="64">
        <v>163.4</v>
      </c>
      <c r="Q281" s="64">
        <v>183.4</v>
      </c>
      <c r="R281" s="64">
        <v>156.30000000000001</v>
      </c>
      <c r="S281" s="64">
        <v>151</v>
      </c>
      <c r="T281" s="64">
        <v>155.5</v>
      </c>
      <c r="U281" s="64">
        <v>158</v>
      </c>
      <c r="V281" s="64">
        <v>147.5</v>
      </c>
      <c r="W281" s="64">
        <v>152.80000000000001</v>
      </c>
      <c r="X281" s="64">
        <v>160.4</v>
      </c>
      <c r="Y281" s="64">
        <v>146.1</v>
      </c>
      <c r="Z281" s="64">
        <v>153.6</v>
      </c>
      <c r="AA281" s="64">
        <v>161.6</v>
      </c>
      <c r="AB281" s="64">
        <v>156.19999999999999</v>
      </c>
      <c r="AC281" s="64">
        <v>154.5</v>
      </c>
      <c r="AD281" s="64">
        <v>159.80000000000001</v>
      </c>
    </row>
    <row r="282" spans="1:30">
      <c r="A282" s="64" t="s">
        <v>33</v>
      </c>
      <c r="B282" s="64">
        <v>2020</v>
      </c>
      <c r="C282" s="64" t="s">
        <v>45</v>
      </c>
      <c r="D282" s="64">
        <v>149.69999999999999</v>
      </c>
      <c r="E282" s="64">
        <v>195.5</v>
      </c>
      <c r="F282" s="64">
        <v>176.9</v>
      </c>
      <c r="G282" s="64">
        <v>153.9</v>
      </c>
      <c r="H282" s="64">
        <v>138</v>
      </c>
      <c r="I282" s="64">
        <v>150.5</v>
      </c>
      <c r="J282" s="64">
        <v>245.3</v>
      </c>
      <c r="K282" s="64">
        <v>158.69999999999999</v>
      </c>
      <c r="L282" s="64">
        <v>117.2</v>
      </c>
      <c r="M282" s="64">
        <v>161.4</v>
      </c>
      <c r="N282" s="64">
        <v>141.5</v>
      </c>
      <c r="O282" s="64">
        <v>165.1</v>
      </c>
      <c r="P282" s="64">
        <v>167</v>
      </c>
      <c r="Q282" s="64">
        <v>188.8</v>
      </c>
      <c r="R282" s="64">
        <v>151.1</v>
      </c>
      <c r="S282" s="64">
        <v>136.4</v>
      </c>
      <c r="T282" s="64">
        <v>148.80000000000001</v>
      </c>
      <c r="U282" s="64">
        <v>158</v>
      </c>
      <c r="V282" s="64">
        <v>137.30000000000001</v>
      </c>
      <c r="W282" s="64">
        <v>145.1</v>
      </c>
      <c r="X282" s="64">
        <v>152</v>
      </c>
      <c r="Y282" s="64">
        <v>135.19999999999999</v>
      </c>
      <c r="Z282" s="64">
        <v>144.4</v>
      </c>
      <c r="AA282" s="64">
        <v>156.4</v>
      </c>
      <c r="AB282" s="64">
        <v>157.9</v>
      </c>
      <c r="AC282" s="64">
        <v>146.6</v>
      </c>
      <c r="AD282" s="64">
        <v>156.69999999999999</v>
      </c>
    </row>
    <row r="283" spans="1:30">
      <c r="A283" s="64" t="s">
        <v>34</v>
      </c>
      <c r="B283" s="64">
        <v>2020</v>
      </c>
      <c r="C283" s="64" t="s">
        <v>45</v>
      </c>
      <c r="D283" s="64">
        <v>146.80000000000001</v>
      </c>
      <c r="E283" s="64">
        <v>191</v>
      </c>
      <c r="F283" s="64">
        <v>173.6</v>
      </c>
      <c r="G283" s="64">
        <v>153.80000000000001</v>
      </c>
      <c r="H283" s="64">
        <v>142.69999999999999</v>
      </c>
      <c r="I283" s="64">
        <v>148.4</v>
      </c>
      <c r="J283" s="64">
        <v>230</v>
      </c>
      <c r="K283" s="64">
        <v>156.80000000000001</v>
      </c>
      <c r="L283" s="64">
        <v>115.7</v>
      </c>
      <c r="M283" s="64">
        <v>161.80000000000001</v>
      </c>
      <c r="N283" s="64">
        <v>146.5</v>
      </c>
      <c r="O283" s="64">
        <v>163.80000000000001</v>
      </c>
      <c r="P283" s="64">
        <v>164.7</v>
      </c>
      <c r="Q283" s="64">
        <v>184.8</v>
      </c>
      <c r="R283" s="64">
        <v>154.30000000000001</v>
      </c>
      <c r="S283" s="64">
        <v>144.9</v>
      </c>
      <c r="T283" s="64">
        <v>152.80000000000001</v>
      </c>
      <c r="U283" s="64">
        <v>158</v>
      </c>
      <c r="V283" s="64">
        <v>143.6</v>
      </c>
      <c r="W283" s="64">
        <v>149.19999999999999</v>
      </c>
      <c r="X283" s="64">
        <v>157.19999999999999</v>
      </c>
      <c r="Y283" s="64">
        <v>140.4</v>
      </c>
      <c r="Z283" s="64">
        <v>148.4</v>
      </c>
      <c r="AA283" s="64">
        <v>158.6</v>
      </c>
      <c r="AB283" s="64">
        <v>156.9</v>
      </c>
      <c r="AC283" s="64">
        <v>150.69999999999999</v>
      </c>
      <c r="AD283" s="64">
        <v>158.4</v>
      </c>
    </row>
    <row r="284" spans="1:30">
      <c r="A284" s="64" t="s">
        <v>30</v>
      </c>
      <c r="B284" s="64">
        <v>2020</v>
      </c>
      <c r="C284" s="64" t="s">
        <v>46</v>
      </c>
      <c r="D284" s="64">
        <v>144.6</v>
      </c>
      <c r="E284" s="64">
        <v>188.5</v>
      </c>
      <c r="F284" s="64">
        <v>173.4</v>
      </c>
      <c r="G284" s="64">
        <v>154</v>
      </c>
      <c r="H284" s="64">
        <v>150</v>
      </c>
      <c r="I284" s="64">
        <v>145.9</v>
      </c>
      <c r="J284" s="64">
        <v>225.2</v>
      </c>
      <c r="K284" s="64">
        <v>159.5</v>
      </c>
      <c r="L284" s="64">
        <v>114.4</v>
      </c>
      <c r="M284" s="64">
        <v>163.5</v>
      </c>
      <c r="N284" s="64">
        <v>153.4</v>
      </c>
      <c r="O284" s="64">
        <v>163.6</v>
      </c>
      <c r="P284" s="64">
        <v>164.5</v>
      </c>
      <c r="Q284" s="64">
        <v>183.6</v>
      </c>
      <c r="R284" s="64">
        <v>157</v>
      </c>
      <c r="S284" s="64">
        <v>151.6</v>
      </c>
      <c r="T284" s="64">
        <v>156.30000000000001</v>
      </c>
      <c r="U284" s="64">
        <v>158.4</v>
      </c>
      <c r="V284" s="64">
        <v>148.69999999999999</v>
      </c>
      <c r="W284" s="64">
        <v>153.4</v>
      </c>
      <c r="X284" s="64">
        <v>161.6</v>
      </c>
      <c r="Y284" s="64">
        <v>146.4</v>
      </c>
      <c r="Z284" s="64">
        <v>153.9</v>
      </c>
      <c r="AA284" s="64">
        <v>162.9</v>
      </c>
      <c r="AB284" s="64">
        <v>156.6</v>
      </c>
      <c r="AC284" s="64">
        <v>155.19999999999999</v>
      </c>
      <c r="AD284" s="64">
        <v>160.69999999999999</v>
      </c>
    </row>
    <row r="285" spans="1:30">
      <c r="A285" s="64" t="s">
        <v>33</v>
      </c>
      <c r="B285" s="64">
        <v>2020</v>
      </c>
      <c r="C285" s="64" t="s">
        <v>46</v>
      </c>
      <c r="D285" s="64">
        <v>149</v>
      </c>
      <c r="E285" s="64">
        <v>195.7</v>
      </c>
      <c r="F285" s="64">
        <v>178.3</v>
      </c>
      <c r="G285" s="64">
        <v>154.19999999999999</v>
      </c>
      <c r="H285" s="64">
        <v>140.69999999999999</v>
      </c>
      <c r="I285" s="64">
        <v>149.69999999999999</v>
      </c>
      <c r="J285" s="64">
        <v>240.9</v>
      </c>
      <c r="K285" s="64">
        <v>161.5</v>
      </c>
      <c r="L285" s="64">
        <v>117.1</v>
      </c>
      <c r="M285" s="64">
        <v>161.9</v>
      </c>
      <c r="N285" s="64">
        <v>143.30000000000001</v>
      </c>
      <c r="O285" s="64">
        <v>166.1</v>
      </c>
      <c r="P285" s="64">
        <v>167</v>
      </c>
      <c r="Q285" s="64">
        <v>190.2</v>
      </c>
      <c r="R285" s="64">
        <v>151.9</v>
      </c>
      <c r="S285" s="64">
        <v>136.69999999999999</v>
      </c>
      <c r="T285" s="64">
        <v>149.6</v>
      </c>
      <c r="U285" s="64">
        <v>158.4</v>
      </c>
      <c r="V285" s="64">
        <v>137.9</v>
      </c>
      <c r="W285" s="64">
        <v>145.5</v>
      </c>
      <c r="X285" s="64">
        <v>152.9</v>
      </c>
      <c r="Y285" s="64">
        <v>135.5</v>
      </c>
      <c r="Z285" s="64">
        <v>144.30000000000001</v>
      </c>
      <c r="AA285" s="64">
        <v>156.9</v>
      </c>
      <c r="AB285" s="64">
        <v>157.9</v>
      </c>
      <c r="AC285" s="64">
        <v>146.9</v>
      </c>
      <c r="AD285" s="64">
        <v>156.9</v>
      </c>
    </row>
    <row r="286" spans="1:30">
      <c r="A286" s="64" t="s">
        <v>34</v>
      </c>
      <c r="B286" s="64">
        <v>2020</v>
      </c>
      <c r="C286" s="64" t="s">
        <v>46</v>
      </c>
      <c r="D286" s="64">
        <v>146</v>
      </c>
      <c r="E286" s="64">
        <v>191</v>
      </c>
      <c r="F286" s="64">
        <v>175.3</v>
      </c>
      <c r="G286" s="64">
        <v>154.1</v>
      </c>
      <c r="H286" s="64">
        <v>146.6</v>
      </c>
      <c r="I286" s="64">
        <v>147.69999999999999</v>
      </c>
      <c r="J286" s="64">
        <v>230.5</v>
      </c>
      <c r="K286" s="64">
        <v>160.19999999999999</v>
      </c>
      <c r="L286" s="64">
        <v>115.3</v>
      </c>
      <c r="M286" s="64">
        <v>163</v>
      </c>
      <c r="N286" s="64">
        <v>149.19999999999999</v>
      </c>
      <c r="O286" s="64">
        <v>164.8</v>
      </c>
      <c r="P286" s="64">
        <v>165.4</v>
      </c>
      <c r="Q286" s="64">
        <v>185.4</v>
      </c>
      <c r="R286" s="64">
        <v>155</v>
      </c>
      <c r="S286" s="64">
        <v>145.4</v>
      </c>
      <c r="T286" s="64">
        <v>153.6</v>
      </c>
      <c r="U286" s="64">
        <v>158.4</v>
      </c>
      <c r="V286" s="64">
        <v>144.6</v>
      </c>
      <c r="W286" s="64">
        <v>149.69999999999999</v>
      </c>
      <c r="X286" s="64">
        <v>158.30000000000001</v>
      </c>
      <c r="Y286" s="64">
        <v>140.69999999999999</v>
      </c>
      <c r="Z286" s="64">
        <v>148.5</v>
      </c>
      <c r="AA286" s="64">
        <v>159.4</v>
      </c>
      <c r="AB286" s="64">
        <v>157.1</v>
      </c>
      <c r="AC286" s="64">
        <v>151.19999999999999</v>
      </c>
      <c r="AD286" s="64">
        <v>158.9</v>
      </c>
    </row>
    <row r="287" spans="1:30">
      <c r="A287" s="64" t="s">
        <v>30</v>
      </c>
      <c r="B287" s="64">
        <v>2021</v>
      </c>
      <c r="C287" s="64" t="s">
        <v>31</v>
      </c>
      <c r="D287" s="64">
        <v>143.4</v>
      </c>
      <c r="E287" s="64">
        <v>187.5</v>
      </c>
      <c r="F287" s="64">
        <v>173.4</v>
      </c>
      <c r="G287" s="64">
        <v>154</v>
      </c>
      <c r="H287" s="64">
        <v>154.80000000000001</v>
      </c>
      <c r="I287" s="64">
        <v>147</v>
      </c>
      <c r="J287" s="64">
        <v>187.8</v>
      </c>
      <c r="K287" s="64">
        <v>159.5</v>
      </c>
      <c r="L287" s="64">
        <v>113.8</v>
      </c>
      <c r="M287" s="64">
        <v>164.5</v>
      </c>
      <c r="N287" s="64">
        <v>156.1</v>
      </c>
      <c r="O287" s="64">
        <v>164.3</v>
      </c>
      <c r="P287" s="64">
        <v>159.6</v>
      </c>
      <c r="Q287" s="64">
        <v>184.6</v>
      </c>
      <c r="R287" s="64">
        <v>157.5</v>
      </c>
      <c r="S287" s="64">
        <v>152.4</v>
      </c>
      <c r="T287" s="64">
        <v>156.80000000000001</v>
      </c>
      <c r="U287" s="64">
        <v>157.69999999999999</v>
      </c>
      <c r="V287" s="64">
        <v>150.9</v>
      </c>
      <c r="W287" s="64">
        <v>153.9</v>
      </c>
      <c r="X287" s="64">
        <v>162.5</v>
      </c>
      <c r="Y287" s="64">
        <v>147.5</v>
      </c>
      <c r="Z287" s="64">
        <v>155.1</v>
      </c>
      <c r="AA287" s="64">
        <v>163.5</v>
      </c>
      <c r="AB287" s="64">
        <v>156.19999999999999</v>
      </c>
      <c r="AC287" s="64">
        <v>155.9</v>
      </c>
      <c r="AD287" s="64">
        <v>158.5</v>
      </c>
    </row>
    <row r="288" spans="1:30">
      <c r="A288" s="64" t="s">
        <v>33</v>
      </c>
      <c r="B288" s="64">
        <v>2021</v>
      </c>
      <c r="C288" s="64" t="s">
        <v>31</v>
      </c>
      <c r="D288" s="64">
        <v>148</v>
      </c>
      <c r="E288" s="64">
        <v>194.8</v>
      </c>
      <c r="F288" s="64">
        <v>178.4</v>
      </c>
      <c r="G288" s="64">
        <v>154.4</v>
      </c>
      <c r="H288" s="64">
        <v>144.1</v>
      </c>
      <c r="I288" s="64">
        <v>152.6</v>
      </c>
      <c r="J288" s="64">
        <v>206.8</v>
      </c>
      <c r="K288" s="64">
        <v>162.1</v>
      </c>
      <c r="L288" s="64">
        <v>116.3</v>
      </c>
      <c r="M288" s="64">
        <v>163</v>
      </c>
      <c r="N288" s="64">
        <v>145.9</v>
      </c>
      <c r="O288" s="64">
        <v>167.2</v>
      </c>
      <c r="P288" s="64">
        <v>163.4</v>
      </c>
      <c r="Q288" s="64">
        <v>191.8</v>
      </c>
      <c r="R288" s="64">
        <v>152.5</v>
      </c>
      <c r="S288" s="64">
        <v>137.30000000000001</v>
      </c>
      <c r="T288" s="64">
        <v>150.19999999999999</v>
      </c>
      <c r="U288" s="64">
        <v>157.69999999999999</v>
      </c>
      <c r="V288" s="64">
        <v>142.9</v>
      </c>
      <c r="W288" s="64">
        <v>145.69999999999999</v>
      </c>
      <c r="X288" s="64">
        <v>154.1</v>
      </c>
      <c r="Y288" s="64">
        <v>136.9</v>
      </c>
      <c r="Z288" s="64">
        <v>145.4</v>
      </c>
      <c r="AA288" s="64">
        <v>156.1</v>
      </c>
      <c r="AB288" s="64">
        <v>157.69999999999999</v>
      </c>
      <c r="AC288" s="64">
        <v>147.6</v>
      </c>
      <c r="AD288" s="64">
        <v>156</v>
      </c>
    </row>
    <row r="289" spans="1:30">
      <c r="A289" s="64" t="s">
        <v>34</v>
      </c>
      <c r="B289" s="64">
        <v>2021</v>
      </c>
      <c r="C289" s="64" t="s">
        <v>31</v>
      </c>
      <c r="D289" s="64">
        <v>144.9</v>
      </c>
      <c r="E289" s="64">
        <v>190.1</v>
      </c>
      <c r="F289" s="64">
        <v>175.3</v>
      </c>
      <c r="G289" s="64">
        <v>154.1</v>
      </c>
      <c r="H289" s="64">
        <v>150.9</v>
      </c>
      <c r="I289" s="64">
        <v>149.6</v>
      </c>
      <c r="J289" s="64">
        <v>194.2</v>
      </c>
      <c r="K289" s="64">
        <v>160.4</v>
      </c>
      <c r="L289" s="64">
        <v>114.6</v>
      </c>
      <c r="M289" s="64">
        <v>164</v>
      </c>
      <c r="N289" s="64">
        <v>151.80000000000001</v>
      </c>
      <c r="O289" s="64">
        <v>165.6</v>
      </c>
      <c r="P289" s="64">
        <v>161</v>
      </c>
      <c r="Q289" s="64">
        <v>186.5</v>
      </c>
      <c r="R289" s="64">
        <v>155.5</v>
      </c>
      <c r="S289" s="64">
        <v>146.1</v>
      </c>
      <c r="T289" s="64">
        <v>154.19999999999999</v>
      </c>
      <c r="U289" s="64">
        <v>157.69999999999999</v>
      </c>
      <c r="V289" s="64">
        <v>147.9</v>
      </c>
      <c r="W289" s="64">
        <v>150</v>
      </c>
      <c r="X289" s="64">
        <v>159.30000000000001</v>
      </c>
      <c r="Y289" s="64">
        <v>141.9</v>
      </c>
      <c r="Z289" s="64">
        <v>149.6</v>
      </c>
      <c r="AA289" s="64">
        <v>159.19999999999999</v>
      </c>
      <c r="AB289" s="64">
        <v>156.80000000000001</v>
      </c>
      <c r="AC289" s="64">
        <v>151.9</v>
      </c>
      <c r="AD289" s="64">
        <v>157.30000000000001</v>
      </c>
    </row>
    <row r="290" spans="1:30">
      <c r="A290" s="64" t="s">
        <v>30</v>
      </c>
      <c r="B290" s="64">
        <v>2021</v>
      </c>
      <c r="C290" s="64" t="s">
        <v>35</v>
      </c>
      <c r="D290" s="64">
        <v>142.80000000000001</v>
      </c>
      <c r="E290" s="64">
        <v>184</v>
      </c>
      <c r="F290" s="64">
        <v>168</v>
      </c>
      <c r="G290" s="64">
        <v>154.4</v>
      </c>
      <c r="H290" s="64">
        <v>163</v>
      </c>
      <c r="I290" s="64">
        <v>147.80000000000001</v>
      </c>
      <c r="J290" s="64">
        <v>149.69999999999999</v>
      </c>
      <c r="K290" s="64">
        <v>158.30000000000001</v>
      </c>
      <c r="L290" s="64">
        <v>111.8</v>
      </c>
      <c r="M290" s="64">
        <v>165</v>
      </c>
      <c r="N290" s="64">
        <v>160</v>
      </c>
      <c r="O290" s="64">
        <v>165.8</v>
      </c>
      <c r="P290" s="64">
        <v>154.69999999999999</v>
      </c>
      <c r="Q290" s="64">
        <v>186.5</v>
      </c>
      <c r="R290" s="64">
        <v>159.1</v>
      </c>
      <c r="S290" s="64">
        <v>153.9</v>
      </c>
      <c r="T290" s="64">
        <v>158.4</v>
      </c>
      <c r="U290" s="64">
        <v>159.9</v>
      </c>
      <c r="V290" s="64">
        <v>154.4</v>
      </c>
      <c r="W290" s="64">
        <v>154.80000000000001</v>
      </c>
      <c r="X290" s="64">
        <v>164.3</v>
      </c>
      <c r="Y290" s="64">
        <v>150.19999999999999</v>
      </c>
      <c r="Z290" s="64">
        <v>157</v>
      </c>
      <c r="AA290" s="64">
        <v>163.6</v>
      </c>
      <c r="AB290" s="64">
        <v>155.19999999999999</v>
      </c>
      <c r="AC290" s="64">
        <v>157.19999999999999</v>
      </c>
      <c r="AD290" s="64">
        <v>156.69999999999999</v>
      </c>
    </row>
    <row r="291" spans="1:30">
      <c r="A291" s="64" t="s">
        <v>33</v>
      </c>
      <c r="B291" s="64">
        <v>2021</v>
      </c>
      <c r="C291" s="64" t="s">
        <v>35</v>
      </c>
      <c r="D291" s="64">
        <v>147.6</v>
      </c>
      <c r="E291" s="64">
        <v>191.2</v>
      </c>
      <c r="F291" s="64">
        <v>169.9</v>
      </c>
      <c r="G291" s="64">
        <v>155.1</v>
      </c>
      <c r="H291" s="64">
        <v>151.4</v>
      </c>
      <c r="I291" s="64">
        <v>154</v>
      </c>
      <c r="J291" s="64">
        <v>180.2</v>
      </c>
      <c r="K291" s="64">
        <v>159.80000000000001</v>
      </c>
      <c r="L291" s="64">
        <v>114.9</v>
      </c>
      <c r="M291" s="64">
        <v>162.5</v>
      </c>
      <c r="N291" s="64">
        <v>149.19999999999999</v>
      </c>
      <c r="O291" s="64">
        <v>169.4</v>
      </c>
      <c r="P291" s="64">
        <v>160.80000000000001</v>
      </c>
      <c r="Q291" s="64">
        <v>193.3</v>
      </c>
      <c r="R291" s="64">
        <v>154.19999999999999</v>
      </c>
      <c r="S291" s="64">
        <v>138.19999999999999</v>
      </c>
      <c r="T291" s="64">
        <v>151.80000000000001</v>
      </c>
      <c r="U291" s="64">
        <v>159.80000000000001</v>
      </c>
      <c r="V291" s="64">
        <v>149.1</v>
      </c>
      <c r="W291" s="64">
        <v>146.5</v>
      </c>
      <c r="X291" s="64">
        <v>156.30000000000001</v>
      </c>
      <c r="Y291" s="64">
        <v>140.5</v>
      </c>
      <c r="Z291" s="64">
        <v>147.30000000000001</v>
      </c>
      <c r="AA291" s="64">
        <v>156.6</v>
      </c>
      <c r="AB291" s="64">
        <v>156.69999999999999</v>
      </c>
      <c r="AC291" s="64">
        <v>149.30000000000001</v>
      </c>
      <c r="AD291" s="64">
        <v>156.5</v>
      </c>
    </row>
    <row r="292" spans="1:30">
      <c r="A292" s="64" t="s">
        <v>34</v>
      </c>
      <c r="B292" s="64">
        <v>2021</v>
      </c>
      <c r="C292" s="64" t="s">
        <v>35</v>
      </c>
      <c r="D292" s="64">
        <v>144.30000000000001</v>
      </c>
      <c r="E292" s="64">
        <v>186.5</v>
      </c>
      <c r="F292" s="64">
        <v>168.7</v>
      </c>
      <c r="G292" s="64">
        <v>154.69999999999999</v>
      </c>
      <c r="H292" s="64">
        <v>158.69999999999999</v>
      </c>
      <c r="I292" s="64">
        <v>150.69999999999999</v>
      </c>
      <c r="J292" s="64">
        <v>160</v>
      </c>
      <c r="K292" s="64">
        <v>158.80000000000001</v>
      </c>
      <c r="L292" s="64">
        <v>112.8</v>
      </c>
      <c r="M292" s="64">
        <v>164.2</v>
      </c>
      <c r="N292" s="64">
        <v>155.5</v>
      </c>
      <c r="O292" s="64">
        <v>167.5</v>
      </c>
      <c r="P292" s="64">
        <v>156.9</v>
      </c>
      <c r="Q292" s="64">
        <v>188.3</v>
      </c>
      <c r="R292" s="64">
        <v>157.19999999999999</v>
      </c>
      <c r="S292" s="64">
        <v>147.4</v>
      </c>
      <c r="T292" s="64">
        <v>155.80000000000001</v>
      </c>
      <c r="U292" s="64">
        <v>159.80000000000001</v>
      </c>
      <c r="V292" s="64">
        <v>152.4</v>
      </c>
      <c r="W292" s="64">
        <v>150.9</v>
      </c>
      <c r="X292" s="64">
        <v>161.30000000000001</v>
      </c>
      <c r="Y292" s="64">
        <v>145.1</v>
      </c>
      <c r="Z292" s="64">
        <v>151.5</v>
      </c>
      <c r="AA292" s="64">
        <v>159.5</v>
      </c>
      <c r="AB292" s="64">
        <v>155.80000000000001</v>
      </c>
      <c r="AC292" s="64">
        <v>153.4</v>
      </c>
      <c r="AD292" s="64">
        <v>156.6</v>
      </c>
    </row>
    <row r="293" spans="1:30">
      <c r="A293" s="64" t="s">
        <v>30</v>
      </c>
      <c r="B293" s="64">
        <v>2021</v>
      </c>
      <c r="C293" s="64" t="s">
        <v>36</v>
      </c>
      <c r="D293" s="64">
        <v>142.5</v>
      </c>
      <c r="E293" s="64">
        <v>189.4</v>
      </c>
      <c r="F293" s="64">
        <v>163.19999999999999</v>
      </c>
      <c r="G293" s="64">
        <v>154.5</v>
      </c>
      <c r="H293" s="64">
        <v>168.2</v>
      </c>
      <c r="I293" s="64">
        <v>150.5</v>
      </c>
      <c r="J293" s="64">
        <v>141</v>
      </c>
      <c r="K293" s="64">
        <v>159.19999999999999</v>
      </c>
      <c r="L293" s="64">
        <v>111.7</v>
      </c>
      <c r="M293" s="64">
        <v>164</v>
      </c>
      <c r="N293" s="64">
        <v>160.6</v>
      </c>
      <c r="O293" s="64">
        <v>166.4</v>
      </c>
      <c r="P293" s="64">
        <v>154.5</v>
      </c>
      <c r="Q293" s="64">
        <v>186.1</v>
      </c>
      <c r="R293" s="64">
        <v>159.6</v>
      </c>
      <c r="S293" s="64">
        <v>154.4</v>
      </c>
      <c r="T293" s="64">
        <v>158.9</v>
      </c>
      <c r="U293" s="64">
        <v>161.4</v>
      </c>
      <c r="V293" s="64">
        <v>156</v>
      </c>
      <c r="W293" s="64">
        <v>154.80000000000001</v>
      </c>
      <c r="X293" s="64">
        <v>164.6</v>
      </c>
      <c r="Y293" s="64">
        <v>151.30000000000001</v>
      </c>
      <c r="Z293" s="64">
        <v>157.80000000000001</v>
      </c>
      <c r="AA293" s="64">
        <v>163.80000000000001</v>
      </c>
      <c r="AB293" s="64">
        <v>153.1</v>
      </c>
      <c r="AC293" s="64">
        <v>157.30000000000001</v>
      </c>
      <c r="AD293" s="64">
        <v>156.69999999999999</v>
      </c>
    </row>
    <row r="294" spans="1:30">
      <c r="A294" s="64" t="s">
        <v>33</v>
      </c>
      <c r="B294" s="64">
        <v>2021</v>
      </c>
      <c r="C294" s="64" t="s">
        <v>36</v>
      </c>
      <c r="D294" s="64">
        <v>147.5</v>
      </c>
      <c r="E294" s="64">
        <v>197.5</v>
      </c>
      <c r="F294" s="64">
        <v>164.7</v>
      </c>
      <c r="G294" s="64">
        <v>155.6</v>
      </c>
      <c r="H294" s="64">
        <v>156.4</v>
      </c>
      <c r="I294" s="64">
        <v>157.30000000000001</v>
      </c>
      <c r="J294" s="64">
        <v>166.1</v>
      </c>
      <c r="K294" s="64">
        <v>161.1</v>
      </c>
      <c r="L294" s="64">
        <v>114.3</v>
      </c>
      <c r="M294" s="64">
        <v>162.6</v>
      </c>
      <c r="N294" s="64">
        <v>150.69999999999999</v>
      </c>
      <c r="O294" s="64">
        <v>170.3</v>
      </c>
      <c r="P294" s="64">
        <v>160.4</v>
      </c>
      <c r="Q294" s="64">
        <v>193.5</v>
      </c>
      <c r="R294" s="64">
        <v>155.1</v>
      </c>
      <c r="S294" s="64">
        <v>138.69999999999999</v>
      </c>
      <c r="T294" s="64">
        <v>152.6</v>
      </c>
      <c r="U294" s="64">
        <v>159.9</v>
      </c>
      <c r="V294" s="64">
        <v>154.80000000000001</v>
      </c>
      <c r="W294" s="64">
        <v>147.19999999999999</v>
      </c>
      <c r="X294" s="64">
        <v>156.9</v>
      </c>
      <c r="Y294" s="64">
        <v>141.69999999999999</v>
      </c>
      <c r="Z294" s="64">
        <v>148.6</v>
      </c>
      <c r="AA294" s="64">
        <v>157.6</v>
      </c>
      <c r="AB294" s="64">
        <v>154.9</v>
      </c>
      <c r="AC294" s="64">
        <v>150</v>
      </c>
      <c r="AD294" s="64">
        <v>156.9</v>
      </c>
    </row>
    <row r="295" spans="1:30">
      <c r="A295" s="64" t="s">
        <v>34</v>
      </c>
      <c r="B295" s="64">
        <v>2021</v>
      </c>
      <c r="C295" s="64" t="s">
        <v>36</v>
      </c>
      <c r="D295" s="64">
        <v>144.1</v>
      </c>
      <c r="E295" s="64">
        <v>192.2</v>
      </c>
      <c r="F295" s="64">
        <v>163.80000000000001</v>
      </c>
      <c r="G295" s="64">
        <v>154.9</v>
      </c>
      <c r="H295" s="64">
        <v>163.9</v>
      </c>
      <c r="I295" s="64">
        <v>153.69999999999999</v>
      </c>
      <c r="J295" s="64">
        <v>149.5</v>
      </c>
      <c r="K295" s="64">
        <v>159.80000000000001</v>
      </c>
      <c r="L295" s="64">
        <v>112.6</v>
      </c>
      <c r="M295" s="64">
        <v>163.5</v>
      </c>
      <c r="N295" s="64">
        <v>156.5</v>
      </c>
      <c r="O295" s="64">
        <v>168.2</v>
      </c>
      <c r="P295" s="64">
        <v>156.69999999999999</v>
      </c>
      <c r="Q295" s="64">
        <v>188.1</v>
      </c>
      <c r="R295" s="64">
        <v>157.80000000000001</v>
      </c>
      <c r="S295" s="64">
        <v>147.9</v>
      </c>
      <c r="T295" s="64">
        <v>156.4</v>
      </c>
      <c r="U295" s="64">
        <v>159.9</v>
      </c>
      <c r="V295" s="64">
        <v>155.5</v>
      </c>
      <c r="W295" s="64">
        <v>151.19999999999999</v>
      </c>
      <c r="X295" s="64">
        <v>161.69999999999999</v>
      </c>
      <c r="Y295" s="64">
        <v>146.19999999999999</v>
      </c>
      <c r="Z295" s="64">
        <v>152.6</v>
      </c>
      <c r="AA295" s="64">
        <v>160.19999999999999</v>
      </c>
      <c r="AB295" s="64">
        <v>153.80000000000001</v>
      </c>
      <c r="AC295" s="64">
        <v>153.80000000000001</v>
      </c>
      <c r="AD295" s="64">
        <v>156.80000000000001</v>
      </c>
    </row>
    <row r="296" spans="1:30">
      <c r="A296" s="64" t="s">
        <v>30</v>
      </c>
      <c r="B296" s="64">
        <v>2021</v>
      </c>
      <c r="C296" s="64" t="s">
        <v>37</v>
      </c>
      <c r="D296" s="64">
        <v>142.69999999999999</v>
      </c>
      <c r="E296" s="64">
        <v>195.5</v>
      </c>
      <c r="F296" s="64">
        <v>163.4</v>
      </c>
      <c r="G296" s="64">
        <v>155</v>
      </c>
      <c r="H296" s="64">
        <v>175.2</v>
      </c>
      <c r="I296" s="64">
        <v>160.6</v>
      </c>
      <c r="J296" s="64">
        <v>135.1</v>
      </c>
      <c r="K296" s="64">
        <v>161.1</v>
      </c>
      <c r="L296" s="64">
        <v>112.2</v>
      </c>
      <c r="M296" s="64">
        <v>164.4</v>
      </c>
      <c r="N296" s="64">
        <v>161.9</v>
      </c>
      <c r="O296" s="64">
        <v>166.8</v>
      </c>
      <c r="P296" s="64">
        <v>155.6</v>
      </c>
      <c r="Q296" s="64">
        <v>186.8</v>
      </c>
      <c r="R296" s="64">
        <v>160.69999999999999</v>
      </c>
      <c r="S296" s="64">
        <v>155.1</v>
      </c>
      <c r="T296" s="64">
        <v>159.9</v>
      </c>
      <c r="U296" s="64">
        <v>161.6</v>
      </c>
      <c r="V296" s="64">
        <v>156</v>
      </c>
      <c r="W296" s="64">
        <v>155.5</v>
      </c>
      <c r="X296" s="64">
        <v>165.3</v>
      </c>
      <c r="Y296" s="64">
        <v>151.69999999999999</v>
      </c>
      <c r="Z296" s="64">
        <v>158.6</v>
      </c>
      <c r="AA296" s="64">
        <v>164.1</v>
      </c>
      <c r="AB296" s="64">
        <v>154.6</v>
      </c>
      <c r="AC296" s="64">
        <v>158</v>
      </c>
      <c r="AD296" s="64">
        <v>157.6</v>
      </c>
    </row>
    <row r="297" spans="1:30">
      <c r="A297" s="64" t="s">
        <v>33</v>
      </c>
      <c r="B297" s="64">
        <v>2021</v>
      </c>
      <c r="C297" s="64" t="s">
        <v>37</v>
      </c>
      <c r="D297" s="64">
        <v>147.6</v>
      </c>
      <c r="E297" s="64">
        <v>202.5</v>
      </c>
      <c r="F297" s="64">
        <v>166.4</v>
      </c>
      <c r="G297" s="64">
        <v>156</v>
      </c>
      <c r="H297" s="64">
        <v>161.4</v>
      </c>
      <c r="I297" s="64">
        <v>168.8</v>
      </c>
      <c r="J297" s="64">
        <v>161.6</v>
      </c>
      <c r="K297" s="64">
        <v>162.80000000000001</v>
      </c>
      <c r="L297" s="64">
        <v>114.8</v>
      </c>
      <c r="M297" s="64">
        <v>162.80000000000001</v>
      </c>
      <c r="N297" s="64">
        <v>151.5</v>
      </c>
      <c r="O297" s="64">
        <v>171.4</v>
      </c>
      <c r="P297" s="64">
        <v>162</v>
      </c>
      <c r="Q297" s="64">
        <v>194.4</v>
      </c>
      <c r="R297" s="64">
        <v>155.9</v>
      </c>
      <c r="S297" s="64">
        <v>139.30000000000001</v>
      </c>
      <c r="T297" s="64">
        <v>153.4</v>
      </c>
      <c r="U297" s="64">
        <v>161.4</v>
      </c>
      <c r="V297" s="64">
        <v>154.9</v>
      </c>
      <c r="W297" s="64">
        <v>147.6</v>
      </c>
      <c r="X297" s="64">
        <v>157.5</v>
      </c>
      <c r="Y297" s="64">
        <v>142.1</v>
      </c>
      <c r="Z297" s="64">
        <v>149.1</v>
      </c>
      <c r="AA297" s="64">
        <v>157.6</v>
      </c>
      <c r="AB297" s="64">
        <v>156.6</v>
      </c>
      <c r="AC297" s="64">
        <v>150.5</v>
      </c>
      <c r="AD297" s="64">
        <v>158</v>
      </c>
    </row>
    <row r="298" spans="1:30">
      <c r="A298" s="64" t="s">
        <v>34</v>
      </c>
      <c r="B298" s="64">
        <v>2021</v>
      </c>
      <c r="C298" s="64" t="s">
        <v>37</v>
      </c>
      <c r="D298" s="64">
        <v>144.30000000000001</v>
      </c>
      <c r="E298" s="64">
        <v>198</v>
      </c>
      <c r="F298" s="64">
        <v>164.6</v>
      </c>
      <c r="G298" s="64">
        <v>155.4</v>
      </c>
      <c r="H298" s="64">
        <v>170.1</v>
      </c>
      <c r="I298" s="64">
        <v>164.4</v>
      </c>
      <c r="J298" s="64">
        <v>144.1</v>
      </c>
      <c r="K298" s="64">
        <v>161.69999999999999</v>
      </c>
      <c r="L298" s="64">
        <v>113.1</v>
      </c>
      <c r="M298" s="64">
        <v>163.9</v>
      </c>
      <c r="N298" s="64">
        <v>157.6</v>
      </c>
      <c r="O298" s="64">
        <v>168.9</v>
      </c>
      <c r="P298" s="64">
        <v>158</v>
      </c>
      <c r="Q298" s="64">
        <v>188.8</v>
      </c>
      <c r="R298" s="64">
        <v>158.80000000000001</v>
      </c>
      <c r="S298" s="64">
        <v>148.5</v>
      </c>
      <c r="T298" s="64">
        <v>157.30000000000001</v>
      </c>
      <c r="U298" s="64">
        <v>161.4</v>
      </c>
      <c r="V298" s="64">
        <v>155.6</v>
      </c>
      <c r="W298" s="64">
        <v>151.80000000000001</v>
      </c>
      <c r="X298" s="64">
        <v>162.30000000000001</v>
      </c>
      <c r="Y298" s="64">
        <v>146.6</v>
      </c>
      <c r="Z298" s="64">
        <v>153.19999999999999</v>
      </c>
      <c r="AA298" s="64">
        <v>160.30000000000001</v>
      </c>
      <c r="AB298" s="64">
        <v>155.4</v>
      </c>
      <c r="AC298" s="64">
        <v>154.4</v>
      </c>
      <c r="AD298" s="64">
        <v>157.80000000000001</v>
      </c>
    </row>
    <row r="299" spans="1:30">
      <c r="A299" s="64" t="s">
        <v>30</v>
      </c>
      <c r="B299" s="64">
        <v>2021</v>
      </c>
      <c r="C299" s="64" t="s">
        <v>38</v>
      </c>
      <c r="D299" s="64">
        <v>145.1</v>
      </c>
      <c r="E299" s="64">
        <v>198.5</v>
      </c>
      <c r="F299" s="64">
        <v>168.6</v>
      </c>
      <c r="G299" s="64">
        <v>155.80000000000001</v>
      </c>
      <c r="H299" s="64">
        <v>184.4</v>
      </c>
      <c r="I299" s="64">
        <v>162.30000000000001</v>
      </c>
      <c r="J299" s="64">
        <v>138.4</v>
      </c>
      <c r="K299" s="64">
        <v>165.1</v>
      </c>
      <c r="L299" s="64">
        <v>114.3</v>
      </c>
      <c r="M299" s="64">
        <v>169.7</v>
      </c>
      <c r="N299" s="64">
        <v>164.6</v>
      </c>
      <c r="O299" s="64">
        <v>169.8</v>
      </c>
      <c r="P299" s="64">
        <v>158.69999999999999</v>
      </c>
      <c r="Q299" s="64">
        <v>189.6</v>
      </c>
      <c r="R299" s="64">
        <v>165.3</v>
      </c>
      <c r="S299" s="64">
        <v>160.6</v>
      </c>
      <c r="T299" s="64">
        <v>164.5</v>
      </c>
      <c r="U299" s="64">
        <v>160.5</v>
      </c>
      <c r="V299" s="64">
        <v>161.69999999999999</v>
      </c>
      <c r="W299" s="64">
        <v>158.80000000000001</v>
      </c>
      <c r="X299" s="64">
        <v>169.1</v>
      </c>
      <c r="Y299" s="64">
        <v>153.19999999999999</v>
      </c>
      <c r="Z299" s="64">
        <v>160</v>
      </c>
      <c r="AA299" s="64">
        <v>167.6</v>
      </c>
      <c r="AB299" s="64">
        <v>159.30000000000001</v>
      </c>
      <c r="AC299" s="64">
        <v>161.1</v>
      </c>
      <c r="AD299" s="64">
        <v>161.1</v>
      </c>
    </row>
    <row r="300" spans="1:30">
      <c r="A300" s="64" t="s">
        <v>33</v>
      </c>
      <c r="B300" s="64">
        <v>2021</v>
      </c>
      <c r="C300" s="64" t="s">
        <v>38</v>
      </c>
      <c r="D300" s="64">
        <v>148.80000000000001</v>
      </c>
      <c r="E300" s="64">
        <v>204.3</v>
      </c>
      <c r="F300" s="64">
        <v>173</v>
      </c>
      <c r="G300" s="64">
        <v>156.5</v>
      </c>
      <c r="H300" s="64">
        <v>168.8</v>
      </c>
      <c r="I300" s="64">
        <v>172.5</v>
      </c>
      <c r="J300" s="64">
        <v>166.5</v>
      </c>
      <c r="K300" s="64">
        <v>165.9</v>
      </c>
      <c r="L300" s="64">
        <v>115.9</v>
      </c>
      <c r="M300" s="64">
        <v>165.2</v>
      </c>
      <c r="N300" s="64">
        <v>152</v>
      </c>
      <c r="O300" s="64">
        <v>171.1</v>
      </c>
      <c r="P300" s="64">
        <v>164.2</v>
      </c>
      <c r="Q300" s="64">
        <v>198.2</v>
      </c>
      <c r="R300" s="64">
        <v>156.5</v>
      </c>
      <c r="S300" s="64">
        <v>140.19999999999999</v>
      </c>
      <c r="T300" s="64">
        <v>154.1</v>
      </c>
      <c r="U300" s="64">
        <v>161.6</v>
      </c>
      <c r="V300" s="64">
        <v>155.5</v>
      </c>
      <c r="W300" s="64">
        <v>150.1</v>
      </c>
      <c r="X300" s="64">
        <v>160.4</v>
      </c>
      <c r="Y300" s="64">
        <v>145</v>
      </c>
      <c r="Z300" s="64">
        <v>152.6</v>
      </c>
      <c r="AA300" s="64">
        <v>156.6</v>
      </c>
      <c r="AB300" s="64">
        <v>157.5</v>
      </c>
      <c r="AC300" s="64">
        <v>152.30000000000001</v>
      </c>
      <c r="AD300" s="64">
        <v>159.5</v>
      </c>
    </row>
    <row r="301" spans="1:30">
      <c r="A301" s="64" t="s">
        <v>34</v>
      </c>
      <c r="B301" s="64">
        <v>2021</v>
      </c>
      <c r="C301" s="64" t="s">
        <v>38</v>
      </c>
      <c r="D301" s="64">
        <v>146.30000000000001</v>
      </c>
      <c r="E301" s="64">
        <v>200.5</v>
      </c>
      <c r="F301" s="64">
        <v>170.3</v>
      </c>
      <c r="G301" s="64">
        <v>156.1</v>
      </c>
      <c r="H301" s="64">
        <v>178.7</v>
      </c>
      <c r="I301" s="64">
        <v>167.1</v>
      </c>
      <c r="J301" s="64">
        <v>147.9</v>
      </c>
      <c r="K301" s="64">
        <v>165.4</v>
      </c>
      <c r="L301" s="64">
        <v>114.8</v>
      </c>
      <c r="M301" s="64">
        <v>168.2</v>
      </c>
      <c r="N301" s="64">
        <v>159.30000000000001</v>
      </c>
      <c r="O301" s="64">
        <v>170.4</v>
      </c>
      <c r="P301" s="64">
        <v>160.69999999999999</v>
      </c>
      <c r="Q301" s="64">
        <v>191.9</v>
      </c>
      <c r="R301" s="64">
        <v>161.80000000000001</v>
      </c>
      <c r="S301" s="64">
        <v>152.1</v>
      </c>
      <c r="T301" s="64">
        <v>160.4</v>
      </c>
      <c r="U301" s="64">
        <v>161.6</v>
      </c>
      <c r="V301" s="64">
        <v>159.4</v>
      </c>
      <c r="W301" s="64">
        <v>154.69999999999999</v>
      </c>
      <c r="X301" s="64">
        <v>165.8</v>
      </c>
      <c r="Y301" s="64">
        <v>148.9</v>
      </c>
      <c r="Z301" s="64">
        <v>155.80000000000001</v>
      </c>
      <c r="AA301" s="64">
        <v>161.19999999999999</v>
      </c>
      <c r="AB301" s="64">
        <v>158.6</v>
      </c>
      <c r="AC301" s="64">
        <v>156.80000000000001</v>
      </c>
      <c r="AD301" s="64">
        <v>160.4</v>
      </c>
    </row>
    <row r="302" spans="1:30">
      <c r="A302" s="64" t="s">
        <v>30</v>
      </c>
      <c r="B302" s="64">
        <v>2021</v>
      </c>
      <c r="C302" s="64" t="s">
        <v>39</v>
      </c>
      <c r="D302" s="64">
        <v>145.6</v>
      </c>
      <c r="E302" s="64">
        <v>200.1</v>
      </c>
      <c r="F302" s="64">
        <v>179.3</v>
      </c>
      <c r="G302" s="64">
        <v>156.1</v>
      </c>
      <c r="H302" s="64">
        <v>190.4</v>
      </c>
      <c r="I302" s="64">
        <v>158.6</v>
      </c>
      <c r="J302" s="64">
        <v>144.69999999999999</v>
      </c>
      <c r="K302" s="64">
        <v>165.5</v>
      </c>
      <c r="L302" s="64">
        <v>114.6</v>
      </c>
      <c r="M302" s="64">
        <v>170</v>
      </c>
      <c r="N302" s="64">
        <v>165.5</v>
      </c>
      <c r="O302" s="64">
        <v>171.7</v>
      </c>
      <c r="P302" s="64">
        <v>160.5</v>
      </c>
      <c r="Q302" s="64">
        <v>189.1</v>
      </c>
      <c r="R302" s="64">
        <v>165.3</v>
      </c>
      <c r="S302" s="64">
        <v>159.9</v>
      </c>
      <c r="T302" s="64">
        <v>164.6</v>
      </c>
      <c r="U302" s="64">
        <v>161.5</v>
      </c>
      <c r="V302" s="64">
        <v>162.1</v>
      </c>
      <c r="W302" s="64">
        <v>159.19999999999999</v>
      </c>
      <c r="X302" s="64">
        <v>169.7</v>
      </c>
      <c r="Y302" s="64">
        <v>154.19999999999999</v>
      </c>
      <c r="Z302" s="64">
        <v>160.4</v>
      </c>
      <c r="AA302" s="64">
        <v>166.8</v>
      </c>
      <c r="AB302" s="64">
        <v>159.4</v>
      </c>
      <c r="AC302" s="64">
        <v>161.5</v>
      </c>
      <c r="AD302" s="64">
        <v>162.1</v>
      </c>
    </row>
    <row r="303" spans="1:30">
      <c r="A303" s="64" t="s">
        <v>33</v>
      </c>
      <c r="B303" s="64">
        <v>2021</v>
      </c>
      <c r="C303" s="64" t="s">
        <v>39</v>
      </c>
      <c r="D303" s="64">
        <v>149.19999999999999</v>
      </c>
      <c r="E303" s="64">
        <v>205.5</v>
      </c>
      <c r="F303" s="64">
        <v>182.8</v>
      </c>
      <c r="G303" s="64">
        <v>156.5</v>
      </c>
      <c r="H303" s="64">
        <v>172.2</v>
      </c>
      <c r="I303" s="64">
        <v>171.5</v>
      </c>
      <c r="J303" s="64">
        <v>176.2</v>
      </c>
      <c r="K303" s="64">
        <v>166.9</v>
      </c>
      <c r="L303" s="64">
        <v>116.1</v>
      </c>
      <c r="M303" s="64">
        <v>165.5</v>
      </c>
      <c r="N303" s="64">
        <v>152.30000000000001</v>
      </c>
      <c r="O303" s="64">
        <v>173.3</v>
      </c>
      <c r="P303" s="64">
        <v>166.2</v>
      </c>
      <c r="Q303" s="64">
        <v>195.6</v>
      </c>
      <c r="R303" s="64">
        <v>157.30000000000001</v>
      </c>
      <c r="S303" s="64">
        <v>140.5</v>
      </c>
      <c r="T303" s="64">
        <v>154.80000000000001</v>
      </c>
      <c r="U303" s="64">
        <v>160.5</v>
      </c>
      <c r="V303" s="64">
        <v>156.1</v>
      </c>
      <c r="W303" s="64">
        <v>149.80000000000001</v>
      </c>
      <c r="X303" s="64">
        <v>160.80000000000001</v>
      </c>
      <c r="Y303" s="64">
        <v>147.5</v>
      </c>
      <c r="Z303" s="64">
        <v>150.69999999999999</v>
      </c>
      <c r="AA303" s="64">
        <v>158.1</v>
      </c>
      <c r="AB303" s="64">
        <v>158</v>
      </c>
      <c r="AC303" s="64">
        <v>153.4</v>
      </c>
      <c r="AD303" s="64">
        <v>160.4</v>
      </c>
    </row>
    <row r="304" spans="1:30">
      <c r="A304" s="64" t="s">
        <v>34</v>
      </c>
      <c r="B304" s="64">
        <v>2021</v>
      </c>
      <c r="C304" s="64" t="s">
        <v>39</v>
      </c>
      <c r="D304" s="64">
        <v>146.69999999999999</v>
      </c>
      <c r="E304" s="64">
        <v>202</v>
      </c>
      <c r="F304" s="64">
        <v>180.7</v>
      </c>
      <c r="G304" s="64">
        <v>156.19999999999999</v>
      </c>
      <c r="H304" s="64">
        <v>183.7</v>
      </c>
      <c r="I304" s="64">
        <v>164.6</v>
      </c>
      <c r="J304" s="64">
        <v>155.4</v>
      </c>
      <c r="K304" s="64">
        <v>166</v>
      </c>
      <c r="L304" s="64">
        <v>115.1</v>
      </c>
      <c r="M304" s="64">
        <v>168.5</v>
      </c>
      <c r="N304" s="64">
        <v>160</v>
      </c>
      <c r="O304" s="64">
        <v>172.4</v>
      </c>
      <c r="P304" s="64">
        <v>162.6</v>
      </c>
      <c r="Q304" s="64">
        <v>190.8</v>
      </c>
      <c r="R304" s="64">
        <v>162.19999999999999</v>
      </c>
      <c r="S304" s="64">
        <v>151.80000000000001</v>
      </c>
      <c r="T304" s="64">
        <v>160.69999999999999</v>
      </c>
      <c r="U304" s="64">
        <v>160.5</v>
      </c>
      <c r="V304" s="64">
        <v>159.80000000000001</v>
      </c>
      <c r="W304" s="64">
        <v>154.80000000000001</v>
      </c>
      <c r="X304" s="64">
        <v>166.3</v>
      </c>
      <c r="Y304" s="64">
        <v>150.69999999999999</v>
      </c>
      <c r="Z304" s="64">
        <v>154.9</v>
      </c>
      <c r="AA304" s="64">
        <v>161.69999999999999</v>
      </c>
      <c r="AB304" s="64">
        <v>158.80000000000001</v>
      </c>
      <c r="AC304" s="64">
        <v>157.6</v>
      </c>
      <c r="AD304" s="64">
        <v>161.30000000000001</v>
      </c>
    </row>
    <row r="305" spans="1:30">
      <c r="A305" s="64" t="s">
        <v>30</v>
      </c>
      <c r="B305" s="64">
        <v>2021</v>
      </c>
      <c r="C305" s="64" t="s">
        <v>40</v>
      </c>
      <c r="D305" s="64">
        <v>145.1</v>
      </c>
      <c r="E305" s="64">
        <v>204.5</v>
      </c>
      <c r="F305" s="64">
        <v>180.4</v>
      </c>
      <c r="G305" s="64">
        <v>157.1</v>
      </c>
      <c r="H305" s="64">
        <v>188.7</v>
      </c>
      <c r="I305" s="64">
        <v>157.69999999999999</v>
      </c>
      <c r="J305" s="64">
        <v>152.80000000000001</v>
      </c>
      <c r="K305" s="64">
        <v>163.6</v>
      </c>
      <c r="L305" s="64">
        <v>113.9</v>
      </c>
      <c r="M305" s="64">
        <v>169.7</v>
      </c>
      <c r="N305" s="64">
        <v>166.2</v>
      </c>
      <c r="O305" s="64">
        <v>171</v>
      </c>
      <c r="P305" s="64">
        <v>161.69999999999999</v>
      </c>
      <c r="Q305" s="64">
        <v>189.7</v>
      </c>
      <c r="R305" s="64">
        <v>166</v>
      </c>
      <c r="S305" s="64">
        <v>161.1</v>
      </c>
      <c r="T305" s="64">
        <v>165.3</v>
      </c>
      <c r="U305" s="64">
        <v>162.1</v>
      </c>
      <c r="V305" s="64">
        <v>162.5</v>
      </c>
      <c r="W305" s="64">
        <v>160.30000000000001</v>
      </c>
      <c r="X305" s="64">
        <v>170.4</v>
      </c>
      <c r="Y305" s="64">
        <v>157.1</v>
      </c>
      <c r="Z305" s="64">
        <v>160.69999999999999</v>
      </c>
      <c r="AA305" s="64">
        <v>167.2</v>
      </c>
      <c r="AB305" s="64">
        <v>160.4</v>
      </c>
      <c r="AC305" s="64">
        <v>162.80000000000001</v>
      </c>
      <c r="AD305" s="64">
        <v>163.19999999999999</v>
      </c>
    </row>
    <row r="306" spans="1:30">
      <c r="A306" s="64" t="s">
        <v>33</v>
      </c>
      <c r="B306" s="64">
        <v>2021</v>
      </c>
      <c r="C306" s="64" t="s">
        <v>40</v>
      </c>
      <c r="D306" s="64">
        <v>149.1</v>
      </c>
      <c r="E306" s="64">
        <v>210.9</v>
      </c>
      <c r="F306" s="64">
        <v>185</v>
      </c>
      <c r="G306" s="64">
        <v>158.19999999999999</v>
      </c>
      <c r="H306" s="64">
        <v>170.6</v>
      </c>
      <c r="I306" s="64">
        <v>170.9</v>
      </c>
      <c r="J306" s="64">
        <v>186.4</v>
      </c>
      <c r="K306" s="64">
        <v>164.7</v>
      </c>
      <c r="L306" s="64">
        <v>115.7</v>
      </c>
      <c r="M306" s="64">
        <v>165.5</v>
      </c>
      <c r="N306" s="64">
        <v>153.4</v>
      </c>
      <c r="O306" s="64">
        <v>173.5</v>
      </c>
      <c r="P306" s="64">
        <v>167.9</v>
      </c>
      <c r="Q306" s="64">
        <v>195.5</v>
      </c>
      <c r="R306" s="64">
        <v>157.9</v>
      </c>
      <c r="S306" s="64">
        <v>141.9</v>
      </c>
      <c r="T306" s="64">
        <v>155.5</v>
      </c>
      <c r="U306" s="64">
        <v>161.5</v>
      </c>
      <c r="V306" s="64">
        <v>157.69999999999999</v>
      </c>
      <c r="W306" s="64">
        <v>150.69999999999999</v>
      </c>
      <c r="X306" s="64">
        <v>161.5</v>
      </c>
      <c r="Y306" s="64">
        <v>149.5</v>
      </c>
      <c r="Z306" s="64">
        <v>151.19999999999999</v>
      </c>
      <c r="AA306" s="64">
        <v>160.30000000000001</v>
      </c>
      <c r="AB306" s="64">
        <v>159.6</v>
      </c>
      <c r="AC306" s="64">
        <v>155</v>
      </c>
      <c r="AD306" s="64">
        <v>161.80000000000001</v>
      </c>
    </row>
    <row r="307" spans="1:30">
      <c r="A307" s="64" t="s">
        <v>34</v>
      </c>
      <c r="B307" s="64">
        <v>2021</v>
      </c>
      <c r="C307" s="64" t="s">
        <v>40</v>
      </c>
      <c r="D307" s="64">
        <v>146.4</v>
      </c>
      <c r="E307" s="64">
        <v>206.8</v>
      </c>
      <c r="F307" s="64">
        <v>182.2</v>
      </c>
      <c r="G307" s="64">
        <v>157.5</v>
      </c>
      <c r="H307" s="64">
        <v>182.1</v>
      </c>
      <c r="I307" s="64">
        <v>163.9</v>
      </c>
      <c r="J307" s="64">
        <v>164.2</v>
      </c>
      <c r="K307" s="64">
        <v>164</v>
      </c>
      <c r="L307" s="64">
        <v>114.5</v>
      </c>
      <c r="M307" s="64">
        <v>168.3</v>
      </c>
      <c r="N307" s="64">
        <v>160.9</v>
      </c>
      <c r="O307" s="64">
        <v>172.2</v>
      </c>
      <c r="P307" s="64">
        <v>164</v>
      </c>
      <c r="Q307" s="64">
        <v>191.2</v>
      </c>
      <c r="R307" s="64">
        <v>162.80000000000001</v>
      </c>
      <c r="S307" s="64">
        <v>153.1</v>
      </c>
      <c r="T307" s="64">
        <v>161.4</v>
      </c>
      <c r="U307" s="64">
        <v>161.5</v>
      </c>
      <c r="V307" s="64">
        <v>160.69999999999999</v>
      </c>
      <c r="W307" s="64">
        <v>155.80000000000001</v>
      </c>
      <c r="X307" s="64">
        <v>167</v>
      </c>
      <c r="Y307" s="64">
        <v>153.1</v>
      </c>
      <c r="Z307" s="64">
        <v>155.30000000000001</v>
      </c>
      <c r="AA307" s="64">
        <v>163.19999999999999</v>
      </c>
      <c r="AB307" s="64">
        <v>160.1</v>
      </c>
      <c r="AC307" s="64">
        <v>159</v>
      </c>
      <c r="AD307" s="64">
        <v>162.5</v>
      </c>
    </row>
    <row r="308" spans="1:30">
      <c r="A308" s="64" t="s">
        <v>30</v>
      </c>
      <c r="B308" s="64">
        <v>2021</v>
      </c>
      <c r="C308" s="64" t="s">
        <v>41</v>
      </c>
      <c r="D308" s="64">
        <v>144.9</v>
      </c>
      <c r="E308" s="64">
        <v>202.3</v>
      </c>
      <c r="F308" s="64">
        <v>176.5</v>
      </c>
      <c r="G308" s="64">
        <v>157.5</v>
      </c>
      <c r="H308" s="64">
        <v>190.9</v>
      </c>
      <c r="I308" s="64">
        <v>155.69999999999999</v>
      </c>
      <c r="J308" s="64">
        <v>153.9</v>
      </c>
      <c r="K308" s="64">
        <v>162.80000000000001</v>
      </c>
      <c r="L308" s="64">
        <v>115.2</v>
      </c>
      <c r="M308" s="64">
        <v>169.8</v>
      </c>
      <c r="N308" s="64">
        <v>167.6</v>
      </c>
      <c r="O308" s="64">
        <v>171.9</v>
      </c>
      <c r="P308" s="64">
        <v>161.80000000000001</v>
      </c>
      <c r="Q308" s="64">
        <v>190.2</v>
      </c>
      <c r="R308" s="64">
        <v>167</v>
      </c>
      <c r="S308" s="64">
        <v>162.6</v>
      </c>
      <c r="T308" s="64">
        <v>166.3</v>
      </c>
      <c r="U308" s="64">
        <v>162.1</v>
      </c>
      <c r="V308" s="64">
        <v>163.1</v>
      </c>
      <c r="W308" s="64">
        <v>160.9</v>
      </c>
      <c r="X308" s="64">
        <v>171.1</v>
      </c>
      <c r="Y308" s="64">
        <v>157.69999999999999</v>
      </c>
      <c r="Z308" s="64">
        <v>161.1</v>
      </c>
      <c r="AA308" s="64">
        <v>167.5</v>
      </c>
      <c r="AB308" s="64">
        <v>160.30000000000001</v>
      </c>
      <c r="AC308" s="64">
        <v>163.30000000000001</v>
      </c>
      <c r="AD308" s="64">
        <v>163.6</v>
      </c>
    </row>
    <row r="309" spans="1:30">
      <c r="A309" s="64" t="s">
        <v>33</v>
      </c>
      <c r="B309" s="64">
        <v>2021</v>
      </c>
      <c r="C309" s="64" t="s">
        <v>41</v>
      </c>
      <c r="D309" s="64">
        <v>149.30000000000001</v>
      </c>
      <c r="E309" s="64">
        <v>207.4</v>
      </c>
      <c r="F309" s="64">
        <v>174.1</v>
      </c>
      <c r="G309" s="64">
        <v>159.19999999999999</v>
      </c>
      <c r="H309" s="64">
        <v>175</v>
      </c>
      <c r="I309" s="64">
        <v>161.30000000000001</v>
      </c>
      <c r="J309" s="64">
        <v>183.3</v>
      </c>
      <c r="K309" s="64">
        <v>164.5</v>
      </c>
      <c r="L309" s="64">
        <v>120.4</v>
      </c>
      <c r="M309" s="64">
        <v>166.2</v>
      </c>
      <c r="N309" s="64">
        <v>154.80000000000001</v>
      </c>
      <c r="O309" s="64">
        <v>175.1</v>
      </c>
      <c r="P309" s="64">
        <v>167.3</v>
      </c>
      <c r="Q309" s="64">
        <v>196.5</v>
      </c>
      <c r="R309" s="64">
        <v>159.80000000000001</v>
      </c>
      <c r="S309" s="64">
        <v>143.6</v>
      </c>
      <c r="T309" s="64">
        <v>157.30000000000001</v>
      </c>
      <c r="U309" s="64">
        <v>162.1</v>
      </c>
      <c r="V309" s="64">
        <v>160.69999999999999</v>
      </c>
      <c r="W309" s="64">
        <v>153.19999999999999</v>
      </c>
      <c r="X309" s="64">
        <v>162.80000000000001</v>
      </c>
      <c r="Y309" s="64">
        <v>150.4</v>
      </c>
      <c r="Z309" s="64">
        <v>153.69999999999999</v>
      </c>
      <c r="AA309" s="64">
        <v>160.4</v>
      </c>
      <c r="AB309" s="64">
        <v>159.6</v>
      </c>
      <c r="AC309" s="64">
        <v>156</v>
      </c>
      <c r="AD309" s="64">
        <v>162.30000000000001</v>
      </c>
    </row>
    <row r="310" spans="1:30">
      <c r="A310" s="64" t="s">
        <v>34</v>
      </c>
      <c r="B310" s="64">
        <v>2021</v>
      </c>
      <c r="C310" s="64" t="s">
        <v>41</v>
      </c>
      <c r="D310" s="64">
        <v>146.6</v>
      </c>
      <c r="E310" s="64">
        <v>204</v>
      </c>
      <c r="F310" s="64">
        <v>172.8</v>
      </c>
      <c r="G310" s="64">
        <v>158.4</v>
      </c>
      <c r="H310" s="64">
        <v>188</v>
      </c>
      <c r="I310" s="64">
        <v>156.80000000000001</v>
      </c>
      <c r="J310" s="64">
        <v>162.19999999999999</v>
      </c>
      <c r="K310" s="64">
        <v>164.1</v>
      </c>
      <c r="L310" s="64">
        <v>119.7</v>
      </c>
      <c r="M310" s="64">
        <v>168.8</v>
      </c>
      <c r="N310" s="64">
        <v>162.69999999999999</v>
      </c>
      <c r="O310" s="64">
        <v>173.9</v>
      </c>
      <c r="P310" s="64">
        <v>164</v>
      </c>
      <c r="Q310" s="64">
        <v>192.1</v>
      </c>
      <c r="R310" s="64">
        <v>164.5</v>
      </c>
      <c r="S310" s="64">
        <v>155.30000000000001</v>
      </c>
      <c r="T310" s="64">
        <v>163.19999999999999</v>
      </c>
      <c r="U310" s="64">
        <v>162.1</v>
      </c>
      <c r="V310" s="64">
        <v>162.6</v>
      </c>
      <c r="W310" s="64">
        <v>157.5</v>
      </c>
      <c r="X310" s="64">
        <v>168.4</v>
      </c>
      <c r="Y310" s="64">
        <v>154</v>
      </c>
      <c r="Z310" s="64">
        <v>157.6</v>
      </c>
      <c r="AA310" s="64">
        <v>163.80000000000001</v>
      </c>
      <c r="AB310" s="64">
        <v>160</v>
      </c>
      <c r="AC310" s="64">
        <v>160</v>
      </c>
      <c r="AD310" s="64">
        <v>163.19999999999999</v>
      </c>
    </row>
    <row r="311" spans="1:30">
      <c r="A311" s="64" t="s">
        <v>30</v>
      </c>
      <c r="B311" s="64">
        <v>2021</v>
      </c>
      <c r="C311" s="64" t="s">
        <v>42</v>
      </c>
      <c r="D311" s="64">
        <v>145.4</v>
      </c>
      <c r="E311" s="64">
        <v>202.1</v>
      </c>
      <c r="F311" s="64">
        <v>172</v>
      </c>
      <c r="G311" s="64">
        <v>158</v>
      </c>
      <c r="H311" s="64">
        <v>195.5</v>
      </c>
      <c r="I311" s="64">
        <v>152.69999999999999</v>
      </c>
      <c r="J311" s="64">
        <v>151.4</v>
      </c>
      <c r="K311" s="64">
        <v>163.9</v>
      </c>
      <c r="L311" s="64">
        <v>119.3</v>
      </c>
      <c r="M311" s="64">
        <v>170.1</v>
      </c>
      <c r="N311" s="64">
        <v>168.3</v>
      </c>
      <c r="O311" s="64">
        <v>172.8</v>
      </c>
      <c r="P311" s="64">
        <v>162.1</v>
      </c>
      <c r="Q311" s="64">
        <v>190.5</v>
      </c>
      <c r="R311" s="64">
        <v>167.7</v>
      </c>
      <c r="S311" s="64">
        <v>163.6</v>
      </c>
      <c r="T311" s="64">
        <v>167.1</v>
      </c>
      <c r="U311" s="64">
        <v>163.6</v>
      </c>
      <c r="V311" s="64">
        <v>163.69999999999999</v>
      </c>
      <c r="W311" s="64">
        <v>161.30000000000001</v>
      </c>
      <c r="X311" s="64">
        <v>171.9</v>
      </c>
      <c r="Y311" s="64">
        <v>157.80000000000001</v>
      </c>
      <c r="Z311" s="64">
        <v>162.69999999999999</v>
      </c>
      <c r="AA311" s="64">
        <v>168.5</v>
      </c>
      <c r="AB311" s="64">
        <v>160.19999999999999</v>
      </c>
      <c r="AC311" s="64">
        <v>163.80000000000001</v>
      </c>
      <c r="AD311" s="64">
        <v>164</v>
      </c>
    </row>
    <row r="312" spans="1:30">
      <c r="A312" s="64" t="s">
        <v>33</v>
      </c>
      <c r="B312" s="64">
        <v>2021</v>
      </c>
      <c r="C312" s="64" t="s">
        <v>42</v>
      </c>
      <c r="D312" s="64">
        <v>149.30000000000001</v>
      </c>
      <c r="E312" s="64">
        <v>207.4</v>
      </c>
      <c r="F312" s="64">
        <v>174.1</v>
      </c>
      <c r="G312" s="64">
        <v>159.1</v>
      </c>
      <c r="H312" s="64">
        <v>175</v>
      </c>
      <c r="I312" s="64">
        <v>161.19999999999999</v>
      </c>
      <c r="J312" s="64">
        <v>183.5</v>
      </c>
      <c r="K312" s="64">
        <v>164.5</v>
      </c>
      <c r="L312" s="64">
        <v>120.4</v>
      </c>
      <c r="M312" s="64">
        <v>166.2</v>
      </c>
      <c r="N312" s="64">
        <v>154.80000000000001</v>
      </c>
      <c r="O312" s="64">
        <v>175.1</v>
      </c>
      <c r="P312" s="64">
        <v>167.3</v>
      </c>
      <c r="Q312" s="64">
        <v>196.5</v>
      </c>
      <c r="R312" s="64">
        <v>159.80000000000001</v>
      </c>
      <c r="S312" s="64">
        <v>143.6</v>
      </c>
      <c r="T312" s="64">
        <v>157.4</v>
      </c>
      <c r="U312" s="64">
        <v>162.1</v>
      </c>
      <c r="V312" s="64">
        <v>160.80000000000001</v>
      </c>
      <c r="W312" s="64">
        <v>153.30000000000001</v>
      </c>
      <c r="X312" s="64">
        <v>162.80000000000001</v>
      </c>
      <c r="Y312" s="64">
        <v>150.5</v>
      </c>
      <c r="Z312" s="64">
        <v>153.9</v>
      </c>
      <c r="AA312" s="64">
        <v>160.30000000000001</v>
      </c>
      <c r="AB312" s="64">
        <v>159.6</v>
      </c>
      <c r="AC312" s="64">
        <v>156</v>
      </c>
      <c r="AD312" s="64">
        <v>162.30000000000001</v>
      </c>
    </row>
    <row r="313" spans="1:30">
      <c r="A313" s="64" t="s">
        <v>34</v>
      </c>
      <c r="B313" s="64">
        <v>2021</v>
      </c>
      <c r="C313" s="64" t="s">
        <v>42</v>
      </c>
      <c r="D313" s="64">
        <v>146.6</v>
      </c>
      <c r="E313" s="64">
        <v>204</v>
      </c>
      <c r="F313" s="64">
        <v>172.8</v>
      </c>
      <c r="G313" s="64">
        <v>158.4</v>
      </c>
      <c r="H313" s="64">
        <v>188</v>
      </c>
      <c r="I313" s="64">
        <v>156.69999999999999</v>
      </c>
      <c r="J313" s="64">
        <v>162.30000000000001</v>
      </c>
      <c r="K313" s="64">
        <v>164.1</v>
      </c>
      <c r="L313" s="64">
        <v>119.7</v>
      </c>
      <c r="M313" s="64">
        <v>168.8</v>
      </c>
      <c r="N313" s="64">
        <v>162.69999999999999</v>
      </c>
      <c r="O313" s="64">
        <v>173.9</v>
      </c>
      <c r="P313" s="64">
        <v>164</v>
      </c>
      <c r="Q313" s="64">
        <v>192.1</v>
      </c>
      <c r="R313" s="64">
        <v>164.6</v>
      </c>
      <c r="S313" s="64">
        <v>155.30000000000001</v>
      </c>
      <c r="T313" s="64">
        <v>163.30000000000001</v>
      </c>
      <c r="U313" s="64">
        <v>162.1</v>
      </c>
      <c r="V313" s="64">
        <v>162.6</v>
      </c>
      <c r="W313" s="64">
        <v>157.5</v>
      </c>
      <c r="X313" s="64">
        <v>168.4</v>
      </c>
      <c r="Y313" s="64">
        <v>154</v>
      </c>
      <c r="Z313" s="64">
        <v>157.69999999999999</v>
      </c>
      <c r="AA313" s="64">
        <v>163.69999999999999</v>
      </c>
      <c r="AB313" s="64">
        <v>160</v>
      </c>
      <c r="AC313" s="64">
        <v>160</v>
      </c>
      <c r="AD313" s="64">
        <v>163.19999999999999</v>
      </c>
    </row>
    <row r="314" spans="1:30">
      <c r="A314" s="64" t="s">
        <v>30</v>
      </c>
      <c r="B314" s="64">
        <v>2021</v>
      </c>
      <c r="C314" s="64" t="s">
        <v>43</v>
      </c>
      <c r="D314" s="64">
        <v>146.1</v>
      </c>
      <c r="E314" s="64">
        <v>202.5</v>
      </c>
      <c r="F314" s="64">
        <v>170.1</v>
      </c>
      <c r="G314" s="64">
        <v>158.4</v>
      </c>
      <c r="H314" s="64">
        <v>198.8</v>
      </c>
      <c r="I314" s="64">
        <v>152.6</v>
      </c>
      <c r="J314" s="64">
        <v>170.4</v>
      </c>
      <c r="K314" s="64">
        <v>165.2</v>
      </c>
      <c r="L314" s="64">
        <v>121.6</v>
      </c>
      <c r="M314" s="64">
        <v>170.6</v>
      </c>
      <c r="N314" s="64">
        <v>168.8</v>
      </c>
      <c r="O314" s="64">
        <v>173.6</v>
      </c>
      <c r="P314" s="64">
        <v>165.5</v>
      </c>
      <c r="Q314" s="64">
        <v>191.2</v>
      </c>
      <c r="R314" s="64">
        <v>168.9</v>
      </c>
      <c r="S314" s="64">
        <v>164.8</v>
      </c>
      <c r="T314" s="64">
        <v>168.3</v>
      </c>
      <c r="U314" s="64">
        <v>164.2</v>
      </c>
      <c r="V314" s="64">
        <v>165.5</v>
      </c>
      <c r="W314" s="64">
        <v>162</v>
      </c>
      <c r="X314" s="64">
        <v>172.5</v>
      </c>
      <c r="Y314" s="64">
        <v>159.5</v>
      </c>
      <c r="Z314" s="64">
        <v>163.19999999999999</v>
      </c>
      <c r="AA314" s="64">
        <v>169</v>
      </c>
      <c r="AB314" s="64">
        <v>161.1</v>
      </c>
      <c r="AC314" s="64">
        <v>164.7</v>
      </c>
      <c r="AD314" s="64">
        <v>166.3</v>
      </c>
    </row>
    <row r="315" spans="1:30">
      <c r="A315" s="64" t="s">
        <v>33</v>
      </c>
      <c r="B315" s="64">
        <v>2021</v>
      </c>
      <c r="C315" s="64" t="s">
        <v>43</v>
      </c>
      <c r="D315" s="64">
        <v>150.1</v>
      </c>
      <c r="E315" s="64">
        <v>208.4</v>
      </c>
      <c r="F315" s="64">
        <v>173</v>
      </c>
      <c r="G315" s="64">
        <v>159.19999999999999</v>
      </c>
      <c r="H315" s="64">
        <v>176.6</v>
      </c>
      <c r="I315" s="64">
        <v>159.30000000000001</v>
      </c>
      <c r="J315" s="64">
        <v>214.4</v>
      </c>
      <c r="K315" s="64">
        <v>165.3</v>
      </c>
      <c r="L315" s="64">
        <v>122.5</v>
      </c>
      <c r="M315" s="64">
        <v>166.8</v>
      </c>
      <c r="N315" s="64">
        <v>155.4</v>
      </c>
      <c r="O315" s="64">
        <v>175.9</v>
      </c>
      <c r="P315" s="64">
        <v>171.5</v>
      </c>
      <c r="Q315" s="64">
        <v>197</v>
      </c>
      <c r="R315" s="64">
        <v>160.80000000000001</v>
      </c>
      <c r="S315" s="64">
        <v>144.4</v>
      </c>
      <c r="T315" s="64">
        <v>158.30000000000001</v>
      </c>
      <c r="U315" s="64">
        <v>163.6</v>
      </c>
      <c r="V315" s="64">
        <v>162.19999999999999</v>
      </c>
      <c r="W315" s="64">
        <v>154.30000000000001</v>
      </c>
      <c r="X315" s="64">
        <v>163.5</v>
      </c>
      <c r="Y315" s="64">
        <v>152.19999999999999</v>
      </c>
      <c r="Z315" s="64">
        <v>155.1</v>
      </c>
      <c r="AA315" s="64">
        <v>160.30000000000001</v>
      </c>
      <c r="AB315" s="64">
        <v>160.30000000000001</v>
      </c>
      <c r="AC315" s="64">
        <v>157</v>
      </c>
      <c r="AD315" s="64">
        <v>164.6</v>
      </c>
    </row>
    <row r="316" spans="1:30">
      <c r="A316" s="64" t="s">
        <v>34</v>
      </c>
      <c r="B316" s="64">
        <v>2021</v>
      </c>
      <c r="C316" s="64" t="s">
        <v>43</v>
      </c>
      <c r="D316" s="64">
        <v>147.4</v>
      </c>
      <c r="E316" s="64">
        <v>204.6</v>
      </c>
      <c r="F316" s="64">
        <v>171.2</v>
      </c>
      <c r="G316" s="64">
        <v>158.69999999999999</v>
      </c>
      <c r="H316" s="64">
        <v>190.6</v>
      </c>
      <c r="I316" s="64">
        <v>155.69999999999999</v>
      </c>
      <c r="J316" s="64">
        <v>185.3</v>
      </c>
      <c r="K316" s="64">
        <v>165.2</v>
      </c>
      <c r="L316" s="64">
        <v>121.9</v>
      </c>
      <c r="M316" s="64">
        <v>169.3</v>
      </c>
      <c r="N316" s="64">
        <v>163.19999999999999</v>
      </c>
      <c r="O316" s="64">
        <v>174.7</v>
      </c>
      <c r="P316" s="64">
        <v>167.7</v>
      </c>
      <c r="Q316" s="64">
        <v>192.7</v>
      </c>
      <c r="R316" s="64">
        <v>165.7</v>
      </c>
      <c r="S316" s="64">
        <v>156.30000000000001</v>
      </c>
      <c r="T316" s="64">
        <v>164.3</v>
      </c>
      <c r="U316" s="64">
        <v>163.6</v>
      </c>
      <c r="V316" s="64">
        <v>164.2</v>
      </c>
      <c r="W316" s="64">
        <v>158.4</v>
      </c>
      <c r="X316" s="64">
        <v>169.1</v>
      </c>
      <c r="Y316" s="64">
        <v>155.69999999999999</v>
      </c>
      <c r="Z316" s="64">
        <v>158.6</v>
      </c>
      <c r="AA316" s="64">
        <v>163.9</v>
      </c>
      <c r="AB316" s="64">
        <v>160.80000000000001</v>
      </c>
      <c r="AC316" s="64">
        <v>161</v>
      </c>
      <c r="AD316" s="64">
        <v>165.5</v>
      </c>
    </row>
    <row r="317" spans="1:30">
      <c r="A317" s="64" t="s">
        <v>30</v>
      </c>
      <c r="B317" s="64">
        <v>2021</v>
      </c>
      <c r="C317" s="64" t="s">
        <v>45</v>
      </c>
      <c r="D317" s="64">
        <v>146.9</v>
      </c>
      <c r="E317" s="64">
        <v>199.8</v>
      </c>
      <c r="F317" s="64">
        <v>171.5</v>
      </c>
      <c r="G317" s="64">
        <v>159.1</v>
      </c>
      <c r="H317" s="64">
        <v>198.4</v>
      </c>
      <c r="I317" s="64">
        <v>153.19999999999999</v>
      </c>
      <c r="J317" s="64">
        <v>183.9</v>
      </c>
      <c r="K317" s="64">
        <v>165.4</v>
      </c>
      <c r="L317" s="64">
        <v>122.1</v>
      </c>
      <c r="M317" s="64">
        <v>170.8</v>
      </c>
      <c r="N317" s="64">
        <v>169.1</v>
      </c>
      <c r="O317" s="64">
        <v>174.3</v>
      </c>
      <c r="P317" s="64">
        <v>167.5</v>
      </c>
      <c r="Q317" s="64">
        <v>191.4</v>
      </c>
      <c r="R317" s="64">
        <v>170.4</v>
      </c>
      <c r="S317" s="64">
        <v>166</v>
      </c>
      <c r="T317" s="64">
        <v>169.8</v>
      </c>
      <c r="U317" s="64">
        <v>163.4</v>
      </c>
      <c r="V317" s="64">
        <v>165.3</v>
      </c>
      <c r="W317" s="64">
        <v>162.9</v>
      </c>
      <c r="X317" s="64">
        <v>173.4</v>
      </c>
      <c r="Y317" s="64">
        <v>158.9</v>
      </c>
      <c r="Z317" s="64">
        <v>163.80000000000001</v>
      </c>
      <c r="AA317" s="64">
        <v>169.3</v>
      </c>
      <c r="AB317" s="64">
        <v>162.4</v>
      </c>
      <c r="AC317" s="64">
        <v>165.2</v>
      </c>
      <c r="AD317" s="64">
        <v>167.6</v>
      </c>
    </row>
    <row r="318" spans="1:30">
      <c r="A318" s="64" t="s">
        <v>33</v>
      </c>
      <c r="B318" s="64">
        <v>2021</v>
      </c>
      <c r="C318" s="64" t="s">
        <v>45</v>
      </c>
      <c r="D318" s="64">
        <v>151</v>
      </c>
      <c r="E318" s="64">
        <v>204.9</v>
      </c>
      <c r="F318" s="64">
        <v>175.4</v>
      </c>
      <c r="G318" s="64">
        <v>159.6</v>
      </c>
      <c r="H318" s="64">
        <v>175.8</v>
      </c>
      <c r="I318" s="64">
        <v>160.30000000000001</v>
      </c>
      <c r="J318" s="64">
        <v>229.1</v>
      </c>
      <c r="K318" s="64">
        <v>165.1</v>
      </c>
      <c r="L318" s="64">
        <v>123.1</v>
      </c>
      <c r="M318" s="64">
        <v>167.2</v>
      </c>
      <c r="N318" s="64">
        <v>156.1</v>
      </c>
      <c r="O318" s="64">
        <v>176.8</v>
      </c>
      <c r="P318" s="64">
        <v>173.5</v>
      </c>
      <c r="Q318" s="64">
        <v>197</v>
      </c>
      <c r="R318" s="64">
        <v>162.30000000000001</v>
      </c>
      <c r="S318" s="64">
        <v>145.30000000000001</v>
      </c>
      <c r="T318" s="64">
        <v>159.69999999999999</v>
      </c>
      <c r="U318" s="64">
        <v>164.2</v>
      </c>
      <c r="V318" s="64">
        <v>161.6</v>
      </c>
      <c r="W318" s="64">
        <v>155.19999999999999</v>
      </c>
      <c r="X318" s="64">
        <v>164.2</v>
      </c>
      <c r="Y318" s="64">
        <v>151.19999999999999</v>
      </c>
      <c r="Z318" s="64">
        <v>156.69999999999999</v>
      </c>
      <c r="AA318" s="64">
        <v>160.80000000000001</v>
      </c>
      <c r="AB318" s="64">
        <v>161.80000000000001</v>
      </c>
      <c r="AC318" s="64">
        <v>157.30000000000001</v>
      </c>
      <c r="AD318" s="64">
        <v>165.6</v>
      </c>
    </row>
    <row r="319" spans="1:30">
      <c r="A319" s="64" t="s">
        <v>34</v>
      </c>
      <c r="B319" s="64">
        <v>2021</v>
      </c>
      <c r="C319" s="64" t="s">
        <v>45</v>
      </c>
      <c r="D319" s="64">
        <v>148.19999999999999</v>
      </c>
      <c r="E319" s="64">
        <v>201.6</v>
      </c>
      <c r="F319" s="64">
        <v>173</v>
      </c>
      <c r="G319" s="64">
        <v>159.30000000000001</v>
      </c>
      <c r="H319" s="64">
        <v>190.1</v>
      </c>
      <c r="I319" s="64">
        <v>156.5</v>
      </c>
      <c r="J319" s="64">
        <v>199.2</v>
      </c>
      <c r="K319" s="64">
        <v>165.3</v>
      </c>
      <c r="L319" s="64">
        <v>122.4</v>
      </c>
      <c r="M319" s="64">
        <v>169.6</v>
      </c>
      <c r="N319" s="64">
        <v>163.69999999999999</v>
      </c>
      <c r="O319" s="64">
        <v>175.5</v>
      </c>
      <c r="P319" s="64">
        <v>169.7</v>
      </c>
      <c r="Q319" s="64">
        <v>192.9</v>
      </c>
      <c r="R319" s="64">
        <v>167.2</v>
      </c>
      <c r="S319" s="64">
        <v>157.4</v>
      </c>
      <c r="T319" s="64">
        <v>165.8</v>
      </c>
      <c r="U319" s="64">
        <v>164.2</v>
      </c>
      <c r="V319" s="64">
        <v>163.9</v>
      </c>
      <c r="W319" s="64">
        <v>159.30000000000001</v>
      </c>
      <c r="X319" s="64">
        <v>169.9</v>
      </c>
      <c r="Y319" s="64">
        <v>154.80000000000001</v>
      </c>
      <c r="Z319" s="64">
        <v>159.80000000000001</v>
      </c>
      <c r="AA319" s="64">
        <v>164.3</v>
      </c>
      <c r="AB319" s="64">
        <v>162.19999999999999</v>
      </c>
      <c r="AC319" s="64">
        <v>161.4</v>
      </c>
      <c r="AD319" s="64">
        <v>166.7</v>
      </c>
    </row>
    <row r="320" spans="1:30">
      <c r="A320" s="64" t="s">
        <v>30</v>
      </c>
      <c r="B320" s="64">
        <v>2021</v>
      </c>
      <c r="C320" s="64" t="s">
        <v>46</v>
      </c>
      <c r="D320" s="64">
        <v>147.4</v>
      </c>
      <c r="E320" s="64">
        <v>197</v>
      </c>
      <c r="F320" s="64">
        <v>176.5</v>
      </c>
      <c r="G320" s="64">
        <v>159.80000000000001</v>
      </c>
      <c r="H320" s="64">
        <v>195.8</v>
      </c>
      <c r="I320" s="64">
        <v>152</v>
      </c>
      <c r="J320" s="64">
        <v>172.3</v>
      </c>
      <c r="K320" s="64">
        <v>164.5</v>
      </c>
      <c r="L320" s="64">
        <v>120.6</v>
      </c>
      <c r="M320" s="64">
        <v>171.7</v>
      </c>
      <c r="N320" s="64">
        <v>169.7</v>
      </c>
      <c r="O320" s="64">
        <v>175.1</v>
      </c>
      <c r="P320" s="64">
        <v>165.8</v>
      </c>
      <c r="Q320" s="64">
        <v>190.8</v>
      </c>
      <c r="R320" s="64">
        <v>171.8</v>
      </c>
      <c r="S320" s="64">
        <v>167.3</v>
      </c>
      <c r="T320" s="64">
        <v>171.2</v>
      </c>
      <c r="U320" s="64">
        <v>164.5</v>
      </c>
      <c r="V320" s="64">
        <v>165.6</v>
      </c>
      <c r="W320" s="64">
        <v>163.9</v>
      </c>
      <c r="X320" s="64">
        <v>174</v>
      </c>
      <c r="Y320" s="64">
        <v>160.1</v>
      </c>
      <c r="Z320" s="64">
        <v>164.5</v>
      </c>
      <c r="AA320" s="64">
        <v>169.7</v>
      </c>
      <c r="AB320" s="64">
        <v>162.80000000000001</v>
      </c>
      <c r="AC320" s="64">
        <v>166</v>
      </c>
      <c r="AD320" s="64">
        <v>167</v>
      </c>
    </row>
    <row r="321" spans="1:30">
      <c r="A321" s="64" t="s">
        <v>33</v>
      </c>
      <c r="B321" s="64">
        <v>2021</v>
      </c>
      <c r="C321" s="64" t="s">
        <v>46</v>
      </c>
      <c r="D321" s="64">
        <v>151.6</v>
      </c>
      <c r="E321" s="64">
        <v>202.2</v>
      </c>
      <c r="F321" s="64">
        <v>180</v>
      </c>
      <c r="G321" s="64">
        <v>160</v>
      </c>
      <c r="H321" s="64">
        <v>173.5</v>
      </c>
      <c r="I321" s="64">
        <v>158.30000000000001</v>
      </c>
      <c r="J321" s="64">
        <v>219.5</v>
      </c>
      <c r="K321" s="64">
        <v>164.2</v>
      </c>
      <c r="L321" s="64">
        <v>121.9</v>
      </c>
      <c r="M321" s="64">
        <v>168.2</v>
      </c>
      <c r="N321" s="64">
        <v>156.5</v>
      </c>
      <c r="O321" s="64">
        <v>178.2</v>
      </c>
      <c r="P321" s="64">
        <v>172.2</v>
      </c>
      <c r="Q321" s="64">
        <v>196.8</v>
      </c>
      <c r="R321" s="64">
        <v>163.30000000000001</v>
      </c>
      <c r="S321" s="64">
        <v>146.69999999999999</v>
      </c>
      <c r="T321" s="64">
        <v>160.69999999999999</v>
      </c>
      <c r="U321" s="64">
        <v>163.4</v>
      </c>
      <c r="V321" s="64">
        <v>161.69999999999999</v>
      </c>
      <c r="W321" s="64">
        <v>156</v>
      </c>
      <c r="X321" s="64">
        <v>165.1</v>
      </c>
      <c r="Y321" s="64">
        <v>151.80000000000001</v>
      </c>
      <c r="Z321" s="64">
        <v>157.6</v>
      </c>
      <c r="AA321" s="64">
        <v>160.6</v>
      </c>
      <c r="AB321" s="64">
        <v>162.4</v>
      </c>
      <c r="AC321" s="64">
        <v>157.80000000000001</v>
      </c>
      <c r="AD321" s="64">
        <v>165.2</v>
      </c>
    </row>
    <row r="322" spans="1:30">
      <c r="A322" s="64" t="s">
        <v>34</v>
      </c>
      <c r="B322" s="64">
        <v>2021</v>
      </c>
      <c r="C322" s="64" t="s">
        <v>46</v>
      </c>
      <c r="D322" s="64">
        <v>148.69999999999999</v>
      </c>
      <c r="E322" s="64">
        <v>198.8</v>
      </c>
      <c r="F322" s="64">
        <v>177.9</v>
      </c>
      <c r="G322" s="64">
        <v>159.9</v>
      </c>
      <c r="H322" s="64">
        <v>187.6</v>
      </c>
      <c r="I322" s="64">
        <v>154.9</v>
      </c>
      <c r="J322" s="64">
        <v>188.3</v>
      </c>
      <c r="K322" s="64">
        <v>164.4</v>
      </c>
      <c r="L322" s="64">
        <v>121</v>
      </c>
      <c r="M322" s="64">
        <v>170.5</v>
      </c>
      <c r="N322" s="64">
        <v>164.2</v>
      </c>
      <c r="O322" s="64">
        <v>176.5</v>
      </c>
      <c r="P322" s="64">
        <v>168.2</v>
      </c>
      <c r="Q322" s="64">
        <v>192.4</v>
      </c>
      <c r="R322" s="64">
        <v>168.5</v>
      </c>
      <c r="S322" s="64">
        <v>158.69999999999999</v>
      </c>
      <c r="T322" s="64">
        <v>167</v>
      </c>
      <c r="U322" s="64">
        <v>163.4</v>
      </c>
      <c r="V322" s="64">
        <v>164.1</v>
      </c>
      <c r="W322" s="64">
        <v>160.19999999999999</v>
      </c>
      <c r="X322" s="64">
        <v>170.6</v>
      </c>
      <c r="Y322" s="64">
        <v>155.69999999999999</v>
      </c>
      <c r="Z322" s="64">
        <v>160.6</v>
      </c>
      <c r="AA322" s="64">
        <v>164.4</v>
      </c>
      <c r="AB322" s="64">
        <v>162.6</v>
      </c>
      <c r="AC322" s="64">
        <v>162</v>
      </c>
      <c r="AD322" s="64">
        <v>166.2</v>
      </c>
    </row>
    <row r="323" spans="1:30">
      <c r="A323" s="64" t="s">
        <v>30</v>
      </c>
      <c r="B323" s="64">
        <v>2022</v>
      </c>
      <c r="C323" s="64" t="s">
        <v>31</v>
      </c>
      <c r="D323" s="64">
        <v>148.30000000000001</v>
      </c>
      <c r="E323" s="64">
        <v>196.9</v>
      </c>
      <c r="F323" s="64">
        <v>178</v>
      </c>
      <c r="G323" s="64">
        <v>160.5</v>
      </c>
      <c r="H323" s="64">
        <v>192.6</v>
      </c>
      <c r="I323" s="64">
        <v>151.19999999999999</v>
      </c>
      <c r="J323" s="64">
        <v>159.19999999999999</v>
      </c>
      <c r="K323" s="64">
        <v>164</v>
      </c>
      <c r="L323" s="64">
        <v>119.3</v>
      </c>
      <c r="M323" s="64">
        <v>173.3</v>
      </c>
      <c r="N323" s="64">
        <v>169.8</v>
      </c>
      <c r="O323" s="64">
        <v>175.8</v>
      </c>
      <c r="P323" s="64">
        <v>164.1</v>
      </c>
      <c r="Q323" s="64">
        <v>190.7</v>
      </c>
      <c r="R323" s="64">
        <v>173.2</v>
      </c>
      <c r="S323" s="64">
        <v>169.3</v>
      </c>
      <c r="T323" s="64">
        <v>172.7</v>
      </c>
      <c r="U323" s="64">
        <v>165.5</v>
      </c>
      <c r="V323" s="64">
        <v>165.8</v>
      </c>
      <c r="W323" s="64">
        <v>164.9</v>
      </c>
      <c r="X323" s="64">
        <v>174.7</v>
      </c>
      <c r="Y323" s="64">
        <v>160.80000000000001</v>
      </c>
      <c r="Z323" s="64">
        <v>164.9</v>
      </c>
      <c r="AA323" s="64">
        <v>169.9</v>
      </c>
      <c r="AB323" s="64">
        <v>163.19999999999999</v>
      </c>
      <c r="AC323" s="64">
        <v>166.6</v>
      </c>
      <c r="AD323" s="64">
        <v>166.4</v>
      </c>
    </row>
    <row r="324" spans="1:30">
      <c r="A324" s="64" t="s">
        <v>33</v>
      </c>
      <c r="B324" s="64">
        <v>2022</v>
      </c>
      <c r="C324" s="64" t="s">
        <v>31</v>
      </c>
      <c r="D324" s="64">
        <v>152.19999999999999</v>
      </c>
      <c r="E324" s="64">
        <v>202.1</v>
      </c>
      <c r="F324" s="64">
        <v>180.1</v>
      </c>
      <c r="G324" s="64">
        <v>160.4</v>
      </c>
      <c r="H324" s="64">
        <v>171</v>
      </c>
      <c r="I324" s="64">
        <v>156.5</v>
      </c>
      <c r="J324" s="64">
        <v>203.6</v>
      </c>
      <c r="K324" s="64">
        <v>163.80000000000001</v>
      </c>
      <c r="L324" s="64">
        <v>121.3</v>
      </c>
      <c r="M324" s="64">
        <v>169.8</v>
      </c>
      <c r="N324" s="64">
        <v>156.6</v>
      </c>
      <c r="O324" s="64">
        <v>179</v>
      </c>
      <c r="P324" s="64">
        <v>170.3</v>
      </c>
      <c r="Q324" s="64">
        <v>196.4</v>
      </c>
      <c r="R324" s="64">
        <v>164.7</v>
      </c>
      <c r="S324" s="64">
        <v>148.5</v>
      </c>
      <c r="T324" s="64">
        <v>162.19999999999999</v>
      </c>
      <c r="U324" s="64">
        <v>164.5</v>
      </c>
      <c r="V324" s="64">
        <v>161.6</v>
      </c>
      <c r="W324" s="64">
        <v>156.80000000000001</v>
      </c>
      <c r="X324" s="64">
        <v>166.1</v>
      </c>
      <c r="Y324" s="64">
        <v>152.69999999999999</v>
      </c>
      <c r="Z324" s="64">
        <v>158.4</v>
      </c>
      <c r="AA324" s="64">
        <v>161</v>
      </c>
      <c r="AB324" s="64">
        <v>162.80000000000001</v>
      </c>
      <c r="AC324" s="64">
        <v>158.6</v>
      </c>
      <c r="AD324" s="64">
        <v>165</v>
      </c>
    </row>
    <row r="325" spans="1:30">
      <c r="A325" s="64" t="s">
        <v>34</v>
      </c>
      <c r="B325" s="64">
        <v>2022</v>
      </c>
      <c r="C325" s="64" t="s">
        <v>31</v>
      </c>
      <c r="D325" s="64">
        <v>149.5</v>
      </c>
      <c r="E325" s="64">
        <v>198.7</v>
      </c>
      <c r="F325" s="64">
        <v>178.8</v>
      </c>
      <c r="G325" s="64">
        <v>160.5</v>
      </c>
      <c r="H325" s="64">
        <v>184.7</v>
      </c>
      <c r="I325" s="64">
        <v>153.69999999999999</v>
      </c>
      <c r="J325" s="64">
        <v>174.3</v>
      </c>
      <c r="K325" s="64">
        <v>163.9</v>
      </c>
      <c r="L325" s="64">
        <v>120</v>
      </c>
      <c r="M325" s="64">
        <v>172.1</v>
      </c>
      <c r="N325" s="64">
        <v>164.3</v>
      </c>
      <c r="O325" s="64">
        <v>177.3</v>
      </c>
      <c r="P325" s="64">
        <v>166.4</v>
      </c>
      <c r="Q325" s="64">
        <v>192.2</v>
      </c>
      <c r="R325" s="64">
        <v>169.9</v>
      </c>
      <c r="S325" s="64">
        <v>160.69999999999999</v>
      </c>
      <c r="T325" s="64">
        <v>168.5</v>
      </c>
      <c r="U325" s="64">
        <v>164.5</v>
      </c>
      <c r="V325" s="64">
        <v>164.2</v>
      </c>
      <c r="W325" s="64">
        <v>161.1</v>
      </c>
      <c r="X325" s="64">
        <v>171.4</v>
      </c>
      <c r="Y325" s="64">
        <v>156.5</v>
      </c>
      <c r="Z325" s="64">
        <v>161.19999999999999</v>
      </c>
      <c r="AA325" s="64">
        <v>164.7</v>
      </c>
      <c r="AB325" s="64">
        <v>163</v>
      </c>
      <c r="AC325" s="64">
        <v>162.69999999999999</v>
      </c>
      <c r="AD325" s="64">
        <v>165.7</v>
      </c>
    </row>
    <row r="326" spans="1:30">
      <c r="A326" s="64" t="s">
        <v>30</v>
      </c>
      <c r="B326" s="64">
        <v>2022</v>
      </c>
      <c r="C326" s="64" t="s">
        <v>35</v>
      </c>
      <c r="D326" s="64">
        <v>148.80000000000001</v>
      </c>
      <c r="E326" s="64">
        <v>198.1</v>
      </c>
      <c r="F326" s="64">
        <v>175.5</v>
      </c>
      <c r="G326" s="64">
        <v>160.69999999999999</v>
      </c>
      <c r="H326" s="64">
        <v>192.6</v>
      </c>
      <c r="I326" s="64">
        <v>151.4</v>
      </c>
      <c r="J326" s="64">
        <v>155.19999999999999</v>
      </c>
      <c r="K326" s="64">
        <v>163.9</v>
      </c>
      <c r="L326" s="64">
        <v>118.1</v>
      </c>
      <c r="M326" s="64">
        <v>175.4</v>
      </c>
      <c r="N326" s="64">
        <v>170.5</v>
      </c>
      <c r="O326" s="64">
        <v>176.3</v>
      </c>
      <c r="P326" s="64">
        <v>163.9</v>
      </c>
      <c r="Q326" s="64">
        <v>191.5</v>
      </c>
      <c r="R326" s="64">
        <v>174.1</v>
      </c>
      <c r="S326" s="64">
        <v>171</v>
      </c>
      <c r="T326" s="64">
        <v>173.7</v>
      </c>
      <c r="U326" s="64">
        <v>165.3</v>
      </c>
      <c r="V326" s="64">
        <v>167.4</v>
      </c>
      <c r="W326" s="64">
        <v>165.7</v>
      </c>
      <c r="X326" s="64">
        <v>175.3</v>
      </c>
      <c r="Y326" s="64">
        <v>161.19999999999999</v>
      </c>
      <c r="Z326" s="64">
        <v>165.5</v>
      </c>
      <c r="AA326" s="64">
        <v>170.3</v>
      </c>
      <c r="AB326" s="64">
        <v>164.5</v>
      </c>
      <c r="AC326" s="64">
        <v>167.3</v>
      </c>
      <c r="AD326" s="64">
        <v>166.7</v>
      </c>
    </row>
    <row r="327" spans="1:30">
      <c r="A327" s="64" t="s">
        <v>33</v>
      </c>
      <c r="B327" s="64">
        <v>2022</v>
      </c>
      <c r="C327" s="64" t="s">
        <v>35</v>
      </c>
      <c r="D327" s="64">
        <v>152.5</v>
      </c>
      <c r="E327" s="64">
        <v>205.2</v>
      </c>
      <c r="F327" s="64">
        <v>176.4</v>
      </c>
      <c r="G327" s="64">
        <v>160.6</v>
      </c>
      <c r="H327" s="64">
        <v>171.5</v>
      </c>
      <c r="I327" s="64">
        <v>156.4</v>
      </c>
      <c r="J327" s="64">
        <v>198</v>
      </c>
      <c r="K327" s="64">
        <v>163.19999999999999</v>
      </c>
      <c r="L327" s="64">
        <v>120.6</v>
      </c>
      <c r="M327" s="64">
        <v>172.2</v>
      </c>
      <c r="N327" s="64">
        <v>156.69999999999999</v>
      </c>
      <c r="O327" s="64">
        <v>180</v>
      </c>
      <c r="P327" s="64">
        <v>170.2</v>
      </c>
      <c r="Q327" s="64">
        <v>196.5</v>
      </c>
      <c r="R327" s="64">
        <v>165.7</v>
      </c>
      <c r="S327" s="64">
        <v>150.4</v>
      </c>
      <c r="T327" s="64">
        <v>163.4</v>
      </c>
      <c r="U327" s="64">
        <v>165.5</v>
      </c>
      <c r="V327" s="64">
        <v>163</v>
      </c>
      <c r="W327" s="64">
        <v>157.4</v>
      </c>
      <c r="X327" s="64">
        <v>167.2</v>
      </c>
      <c r="Y327" s="64">
        <v>153.1</v>
      </c>
      <c r="Z327" s="64">
        <v>159.5</v>
      </c>
      <c r="AA327" s="64">
        <v>162</v>
      </c>
      <c r="AB327" s="64">
        <v>164.2</v>
      </c>
      <c r="AC327" s="64">
        <v>159.4</v>
      </c>
      <c r="AD327" s="64">
        <v>165.5</v>
      </c>
    </row>
    <row r="328" spans="1:30">
      <c r="A328" s="64" t="s">
        <v>34</v>
      </c>
      <c r="B328" s="64">
        <v>2022</v>
      </c>
      <c r="C328" s="64" t="s">
        <v>35</v>
      </c>
      <c r="D328" s="64">
        <v>150</v>
      </c>
      <c r="E328" s="64">
        <v>200.6</v>
      </c>
      <c r="F328" s="64">
        <v>175.8</v>
      </c>
      <c r="G328" s="64">
        <v>160.69999999999999</v>
      </c>
      <c r="H328" s="64">
        <v>184.9</v>
      </c>
      <c r="I328" s="64">
        <v>153.69999999999999</v>
      </c>
      <c r="J328" s="64">
        <v>169.7</v>
      </c>
      <c r="K328" s="64">
        <v>163.69999999999999</v>
      </c>
      <c r="L328" s="64">
        <v>118.9</v>
      </c>
      <c r="M328" s="64">
        <v>174.3</v>
      </c>
      <c r="N328" s="64">
        <v>164.7</v>
      </c>
      <c r="O328" s="64">
        <v>178</v>
      </c>
      <c r="P328" s="64">
        <v>166.2</v>
      </c>
      <c r="Q328" s="64">
        <v>192.8</v>
      </c>
      <c r="R328" s="64">
        <v>170.8</v>
      </c>
      <c r="S328" s="64">
        <v>162.4</v>
      </c>
      <c r="T328" s="64">
        <v>169.6</v>
      </c>
      <c r="U328" s="64">
        <v>165.5</v>
      </c>
      <c r="V328" s="64">
        <v>165.7</v>
      </c>
      <c r="W328" s="64">
        <v>161.80000000000001</v>
      </c>
      <c r="X328" s="64">
        <v>172.2</v>
      </c>
      <c r="Y328" s="64">
        <v>156.9</v>
      </c>
      <c r="Z328" s="64">
        <v>162.1</v>
      </c>
      <c r="AA328" s="64">
        <v>165.4</v>
      </c>
      <c r="AB328" s="64">
        <v>164.4</v>
      </c>
      <c r="AC328" s="64">
        <v>163.5</v>
      </c>
      <c r="AD328" s="64">
        <v>166.1</v>
      </c>
    </row>
    <row r="329" spans="1:30">
      <c r="A329" s="64" t="s">
        <v>30</v>
      </c>
      <c r="B329" s="64">
        <v>2022</v>
      </c>
      <c r="C329" s="64" t="s">
        <v>36</v>
      </c>
      <c r="D329" s="64">
        <v>150.19999999999999</v>
      </c>
      <c r="E329" s="64">
        <v>208</v>
      </c>
      <c r="F329" s="64">
        <v>167.9</v>
      </c>
      <c r="G329" s="64">
        <v>162</v>
      </c>
      <c r="H329" s="64">
        <v>203.1</v>
      </c>
      <c r="I329" s="64">
        <v>155.9</v>
      </c>
      <c r="J329" s="64">
        <v>155.80000000000001</v>
      </c>
      <c r="K329" s="64">
        <v>164.2</v>
      </c>
      <c r="L329" s="64">
        <v>118.1</v>
      </c>
      <c r="M329" s="64">
        <v>178.7</v>
      </c>
      <c r="N329" s="64">
        <v>171.2</v>
      </c>
      <c r="O329" s="64">
        <v>177.4</v>
      </c>
      <c r="P329" s="64">
        <v>166.6</v>
      </c>
      <c r="Q329" s="64">
        <v>192.3</v>
      </c>
      <c r="R329" s="64">
        <v>175.4</v>
      </c>
      <c r="S329" s="64">
        <v>173.2</v>
      </c>
      <c r="T329" s="64">
        <v>175.1</v>
      </c>
      <c r="U329" s="64">
        <v>167</v>
      </c>
      <c r="V329" s="64">
        <v>168.9</v>
      </c>
      <c r="W329" s="64">
        <v>166.5</v>
      </c>
      <c r="X329" s="64">
        <v>176</v>
      </c>
      <c r="Y329" s="64">
        <v>162</v>
      </c>
      <c r="Z329" s="64">
        <v>166.6</v>
      </c>
      <c r="AA329" s="64">
        <v>170.6</v>
      </c>
      <c r="AB329" s="64">
        <v>167.4</v>
      </c>
      <c r="AC329" s="64">
        <v>168.3</v>
      </c>
      <c r="AD329" s="64">
        <v>168.7</v>
      </c>
    </row>
    <row r="330" spans="1:30">
      <c r="A330" s="64" t="s">
        <v>33</v>
      </c>
      <c r="B330" s="64">
        <v>2022</v>
      </c>
      <c r="C330" s="64" t="s">
        <v>36</v>
      </c>
      <c r="D330" s="64">
        <v>153.69999999999999</v>
      </c>
      <c r="E330" s="64">
        <v>215.8</v>
      </c>
      <c r="F330" s="64">
        <v>167.7</v>
      </c>
      <c r="G330" s="64">
        <v>162.6</v>
      </c>
      <c r="H330" s="64">
        <v>180</v>
      </c>
      <c r="I330" s="64">
        <v>159.6</v>
      </c>
      <c r="J330" s="64">
        <v>188.4</v>
      </c>
      <c r="K330" s="64">
        <v>163.4</v>
      </c>
      <c r="L330" s="64">
        <v>120.3</v>
      </c>
      <c r="M330" s="64">
        <v>174.7</v>
      </c>
      <c r="N330" s="64">
        <v>157.1</v>
      </c>
      <c r="O330" s="64">
        <v>181.5</v>
      </c>
      <c r="P330" s="64">
        <v>171.5</v>
      </c>
      <c r="Q330" s="64">
        <v>197.5</v>
      </c>
      <c r="R330" s="64">
        <v>167.1</v>
      </c>
      <c r="S330" s="64">
        <v>152.6</v>
      </c>
      <c r="T330" s="64">
        <v>164.9</v>
      </c>
      <c r="U330" s="64">
        <v>165.3</v>
      </c>
      <c r="V330" s="64">
        <v>164.5</v>
      </c>
      <c r="W330" s="64">
        <v>158.6</v>
      </c>
      <c r="X330" s="64">
        <v>168.2</v>
      </c>
      <c r="Y330" s="64">
        <v>154.19999999999999</v>
      </c>
      <c r="Z330" s="64">
        <v>160.80000000000001</v>
      </c>
      <c r="AA330" s="64">
        <v>162.69999999999999</v>
      </c>
      <c r="AB330" s="64">
        <v>166.8</v>
      </c>
      <c r="AC330" s="64">
        <v>160.6</v>
      </c>
      <c r="AD330" s="64">
        <v>166.5</v>
      </c>
    </row>
    <row r="331" spans="1:30">
      <c r="A331" s="64" t="s">
        <v>34</v>
      </c>
      <c r="B331" s="64">
        <v>2022</v>
      </c>
      <c r="C331" s="64" t="s">
        <v>36</v>
      </c>
      <c r="D331" s="64">
        <v>151.30000000000001</v>
      </c>
      <c r="E331" s="64">
        <v>210.7</v>
      </c>
      <c r="F331" s="64">
        <v>167.8</v>
      </c>
      <c r="G331" s="64">
        <v>162.19999999999999</v>
      </c>
      <c r="H331" s="64">
        <v>194.6</v>
      </c>
      <c r="I331" s="64">
        <v>157.6</v>
      </c>
      <c r="J331" s="64">
        <v>166.9</v>
      </c>
      <c r="K331" s="64">
        <v>163.9</v>
      </c>
      <c r="L331" s="64">
        <v>118.8</v>
      </c>
      <c r="M331" s="64">
        <v>177.4</v>
      </c>
      <c r="N331" s="64">
        <v>165.3</v>
      </c>
      <c r="O331" s="64">
        <v>179.3</v>
      </c>
      <c r="P331" s="64">
        <v>168.4</v>
      </c>
      <c r="Q331" s="64">
        <v>193.7</v>
      </c>
      <c r="R331" s="64">
        <v>172.1</v>
      </c>
      <c r="S331" s="64">
        <v>164.6</v>
      </c>
      <c r="T331" s="64">
        <v>171.1</v>
      </c>
      <c r="U331" s="64">
        <v>165.3</v>
      </c>
      <c r="V331" s="64">
        <v>167.2</v>
      </c>
      <c r="W331" s="64">
        <v>162.80000000000001</v>
      </c>
      <c r="X331" s="64">
        <v>173</v>
      </c>
      <c r="Y331" s="64">
        <v>157.9</v>
      </c>
      <c r="Z331" s="64">
        <v>163.30000000000001</v>
      </c>
      <c r="AA331" s="64">
        <v>166</v>
      </c>
      <c r="AB331" s="64">
        <v>167.2</v>
      </c>
      <c r="AC331" s="64">
        <v>164.6</v>
      </c>
      <c r="AD331" s="64">
        <v>167.7</v>
      </c>
    </row>
    <row r="332" spans="1:30">
      <c r="A332" s="64" t="s">
        <v>30</v>
      </c>
      <c r="B332" s="64">
        <v>2022</v>
      </c>
      <c r="C332" s="64" t="s">
        <v>37</v>
      </c>
      <c r="D332" s="64">
        <v>151.80000000000001</v>
      </c>
      <c r="E332" s="64">
        <v>209.7</v>
      </c>
      <c r="F332" s="64">
        <v>164.5</v>
      </c>
      <c r="G332" s="64">
        <v>163.80000000000001</v>
      </c>
      <c r="H332" s="64">
        <v>207.4</v>
      </c>
      <c r="I332" s="64">
        <v>169.7</v>
      </c>
      <c r="J332" s="64">
        <v>153.6</v>
      </c>
      <c r="K332" s="64">
        <v>165.1</v>
      </c>
      <c r="L332" s="64">
        <v>118.2</v>
      </c>
      <c r="M332" s="64">
        <v>182.9</v>
      </c>
      <c r="N332" s="64">
        <v>172.4</v>
      </c>
      <c r="O332" s="64">
        <v>178.9</v>
      </c>
      <c r="P332" s="64">
        <v>168.6</v>
      </c>
      <c r="Q332" s="64">
        <v>192.8</v>
      </c>
      <c r="R332" s="64">
        <v>177.5</v>
      </c>
      <c r="S332" s="64">
        <v>175.1</v>
      </c>
      <c r="T332" s="64">
        <v>177.1</v>
      </c>
      <c r="U332" s="64">
        <v>167.5</v>
      </c>
      <c r="V332" s="64">
        <v>173.3</v>
      </c>
      <c r="W332" s="64">
        <v>167.7</v>
      </c>
      <c r="X332" s="64">
        <v>177</v>
      </c>
      <c r="Y332" s="64">
        <v>166.2</v>
      </c>
      <c r="Z332" s="64">
        <v>167.2</v>
      </c>
      <c r="AA332" s="64">
        <v>170.9</v>
      </c>
      <c r="AB332" s="64">
        <v>169</v>
      </c>
      <c r="AC332" s="64">
        <v>170.2</v>
      </c>
      <c r="AD332" s="64">
        <v>170.8</v>
      </c>
    </row>
    <row r="333" spans="1:30">
      <c r="A333" s="64" t="s">
        <v>33</v>
      </c>
      <c r="B333" s="64">
        <v>2022</v>
      </c>
      <c r="C333" s="64" t="s">
        <v>37</v>
      </c>
      <c r="D333" s="64">
        <v>155.4</v>
      </c>
      <c r="E333" s="64">
        <v>215.8</v>
      </c>
      <c r="F333" s="64">
        <v>164.6</v>
      </c>
      <c r="G333" s="64">
        <v>164.2</v>
      </c>
      <c r="H333" s="64">
        <v>186</v>
      </c>
      <c r="I333" s="64">
        <v>175.9</v>
      </c>
      <c r="J333" s="64">
        <v>190.7</v>
      </c>
      <c r="K333" s="64">
        <v>164</v>
      </c>
      <c r="L333" s="64">
        <v>120.5</v>
      </c>
      <c r="M333" s="64">
        <v>178</v>
      </c>
      <c r="N333" s="64">
        <v>157.5</v>
      </c>
      <c r="O333" s="64">
        <v>183.3</v>
      </c>
      <c r="P333" s="64">
        <v>174.5</v>
      </c>
      <c r="Q333" s="64">
        <v>197.1</v>
      </c>
      <c r="R333" s="64">
        <v>168.4</v>
      </c>
      <c r="S333" s="64">
        <v>154.5</v>
      </c>
      <c r="T333" s="64">
        <v>166.3</v>
      </c>
      <c r="U333" s="64">
        <v>167</v>
      </c>
      <c r="V333" s="64">
        <v>170.5</v>
      </c>
      <c r="W333" s="64">
        <v>159.80000000000001</v>
      </c>
      <c r="X333" s="64">
        <v>169</v>
      </c>
      <c r="Y333" s="64">
        <v>159.30000000000001</v>
      </c>
      <c r="Z333" s="64">
        <v>162.19999999999999</v>
      </c>
      <c r="AA333" s="64">
        <v>164</v>
      </c>
      <c r="AB333" s="64">
        <v>168.4</v>
      </c>
      <c r="AC333" s="64">
        <v>163.1</v>
      </c>
      <c r="AD333" s="64">
        <v>169.2</v>
      </c>
    </row>
    <row r="334" spans="1:30">
      <c r="A334" s="64" t="s">
        <v>34</v>
      </c>
      <c r="B334" s="64">
        <v>2022</v>
      </c>
      <c r="C334" s="64" t="s">
        <v>37</v>
      </c>
      <c r="D334" s="64">
        <v>152.9</v>
      </c>
      <c r="E334" s="64">
        <v>211.8</v>
      </c>
      <c r="F334" s="64">
        <v>164.5</v>
      </c>
      <c r="G334" s="64">
        <v>163.9</v>
      </c>
      <c r="H334" s="64">
        <v>199.5</v>
      </c>
      <c r="I334" s="64">
        <v>172.6</v>
      </c>
      <c r="J334" s="64">
        <v>166.2</v>
      </c>
      <c r="K334" s="64">
        <v>164.7</v>
      </c>
      <c r="L334" s="64">
        <v>119</v>
      </c>
      <c r="M334" s="64">
        <v>181.3</v>
      </c>
      <c r="N334" s="64">
        <v>166.2</v>
      </c>
      <c r="O334" s="64">
        <v>180.9</v>
      </c>
      <c r="P334" s="64">
        <v>170.8</v>
      </c>
      <c r="Q334" s="64">
        <v>193.9</v>
      </c>
      <c r="R334" s="64">
        <v>173.9</v>
      </c>
      <c r="S334" s="64">
        <v>166.5</v>
      </c>
      <c r="T334" s="64">
        <v>172.8</v>
      </c>
      <c r="U334" s="64">
        <v>167</v>
      </c>
      <c r="V334" s="64">
        <v>172.2</v>
      </c>
      <c r="W334" s="64">
        <v>164</v>
      </c>
      <c r="X334" s="64">
        <v>174</v>
      </c>
      <c r="Y334" s="64">
        <v>162.6</v>
      </c>
      <c r="Z334" s="64">
        <v>164.4</v>
      </c>
      <c r="AA334" s="64">
        <v>166.9</v>
      </c>
      <c r="AB334" s="64">
        <v>168.8</v>
      </c>
      <c r="AC334" s="64">
        <v>166.8</v>
      </c>
      <c r="AD334" s="64">
        <v>170.1</v>
      </c>
    </row>
    <row r="335" spans="1:30">
      <c r="A335" s="64" t="s">
        <v>30</v>
      </c>
      <c r="B335" s="64">
        <v>2022</v>
      </c>
      <c r="C335" s="64" t="s">
        <v>38</v>
      </c>
      <c r="D335" s="64">
        <v>152.9</v>
      </c>
      <c r="E335" s="64">
        <v>214.7</v>
      </c>
      <c r="F335" s="64">
        <v>161.4</v>
      </c>
      <c r="G335" s="64">
        <v>164.6</v>
      </c>
      <c r="H335" s="64">
        <v>209.9</v>
      </c>
      <c r="I335" s="64">
        <v>168</v>
      </c>
      <c r="J335" s="64">
        <v>160.4</v>
      </c>
      <c r="K335" s="64">
        <v>165</v>
      </c>
      <c r="L335" s="64">
        <v>118.9</v>
      </c>
      <c r="M335" s="64">
        <v>186.6</v>
      </c>
      <c r="N335" s="64">
        <v>173.2</v>
      </c>
      <c r="O335" s="64">
        <v>180.4</v>
      </c>
      <c r="P335" s="64">
        <v>170.8</v>
      </c>
      <c r="Q335" s="64">
        <v>192.9</v>
      </c>
      <c r="R335" s="64">
        <v>179.3</v>
      </c>
      <c r="S335" s="64">
        <v>177.2</v>
      </c>
      <c r="T335" s="64">
        <v>179</v>
      </c>
      <c r="U335" s="64">
        <v>166.8</v>
      </c>
      <c r="V335" s="64">
        <v>175.3</v>
      </c>
      <c r="W335" s="64">
        <v>168.9</v>
      </c>
      <c r="X335" s="64">
        <v>177.7</v>
      </c>
      <c r="Y335" s="64">
        <v>167.1</v>
      </c>
      <c r="Z335" s="64">
        <v>167.6</v>
      </c>
      <c r="AA335" s="64">
        <v>171.8</v>
      </c>
      <c r="AB335" s="64">
        <v>168.5</v>
      </c>
      <c r="AC335" s="64">
        <v>170.9</v>
      </c>
      <c r="AD335" s="64">
        <v>172.5</v>
      </c>
    </row>
    <row r="336" spans="1:30">
      <c r="A336" s="64" t="s">
        <v>33</v>
      </c>
      <c r="B336" s="64">
        <v>2022</v>
      </c>
      <c r="C336" s="64" t="s">
        <v>38</v>
      </c>
      <c r="D336" s="64">
        <v>156.69999999999999</v>
      </c>
      <c r="E336" s="64">
        <v>221.2</v>
      </c>
      <c r="F336" s="64">
        <v>164.1</v>
      </c>
      <c r="G336" s="64">
        <v>165.4</v>
      </c>
      <c r="H336" s="64">
        <v>189.5</v>
      </c>
      <c r="I336" s="64">
        <v>174.5</v>
      </c>
      <c r="J336" s="64">
        <v>203.2</v>
      </c>
      <c r="K336" s="64">
        <v>164.1</v>
      </c>
      <c r="L336" s="64">
        <v>121.2</v>
      </c>
      <c r="M336" s="64">
        <v>181.4</v>
      </c>
      <c r="N336" s="64">
        <v>158.5</v>
      </c>
      <c r="O336" s="64">
        <v>184.9</v>
      </c>
      <c r="P336" s="64">
        <v>177.5</v>
      </c>
      <c r="Q336" s="64">
        <v>197.5</v>
      </c>
      <c r="R336" s="64">
        <v>170</v>
      </c>
      <c r="S336" s="64">
        <v>155.9</v>
      </c>
      <c r="T336" s="64">
        <v>167.8</v>
      </c>
      <c r="U336" s="64">
        <v>167.5</v>
      </c>
      <c r="V336" s="64">
        <v>173.5</v>
      </c>
      <c r="W336" s="64">
        <v>161.1</v>
      </c>
      <c r="X336" s="64">
        <v>170.1</v>
      </c>
      <c r="Y336" s="64">
        <v>159.4</v>
      </c>
      <c r="Z336" s="64">
        <v>163.19999999999999</v>
      </c>
      <c r="AA336" s="64">
        <v>165.2</v>
      </c>
      <c r="AB336" s="64">
        <v>168.2</v>
      </c>
      <c r="AC336" s="64">
        <v>163.80000000000001</v>
      </c>
      <c r="AD336" s="64">
        <v>170.8</v>
      </c>
    </row>
    <row r="337" spans="1:30">
      <c r="A337" s="64" t="s">
        <v>34</v>
      </c>
      <c r="B337" s="64">
        <v>2022</v>
      </c>
      <c r="C337" s="64" t="s">
        <v>38</v>
      </c>
      <c r="D337" s="64">
        <v>154.1</v>
      </c>
      <c r="E337" s="64">
        <v>217</v>
      </c>
      <c r="F337" s="64">
        <v>162.4</v>
      </c>
      <c r="G337" s="64">
        <v>164.9</v>
      </c>
      <c r="H337" s="64">
        <v>202.4</v>
      </c>
      <c r="I337" s="64">
        <v>171</v>
      </c>
      <c r="J337" s="64">
        <v>174.9</v>
      </c>
      <c r="K337" s="64">
        <v>164.7</v>
      </c>
      <c r="L337" s="64">
        <v>119.7</v>
      </c>
      <c r="M337" s="64">
        <v>184.9</v>
      </c>
      <c r="N337" s="64">
        <v>167.1</v>
      </c>
      <c r="O337" s="64">
        <v>182.5</v>
      </c>
      <c r="P337" s="64">
        <v>173.3</v>
      </c>
      <c r="Q337" s="64">
        <v>194.1</v>
      </c>
      <c r="R337" s="64">
        <v>175.6</v>
      </c>
      <c r="S337" s="64">
        <v>168.4</v>
      </c>
      <c r="T337" s="64">
        <v>174.6</v>
      </c>
      <c r="U337" s="64">
        <v>167.5</v>
      </c>
      <c r="V337" s="64">
        <v>174.6</v>
      </c>
      <c r="W337" s="64">
        <v>165.2</v>
      </c>
      <c r="X337" s="64">
        <v>174.8</v>
      </c>
      <c r="Y337" s="64">
        <v>163</v>
      </c>
      <c r="Z337" s="64">
        <v>165.1</v>
      </c>
      <c r="AA337" s="64">
        <v>167.9</v>
      </c>
      <c r="AB337" s="64">
        <v>168.4</v>
      </c>
      <c r="AC337" s="64">
        <v>167.5</v>
      </c>
      <c r="AD337" s="64">
        <v>171.7</v>
      </c>
    </row>
    <row r="338" spans="1:30">
      <c r="A338" s="64" t="s">
        <v>30</v>
      </c>
      <c r="B338" s="64">
        <v>2022</v>
      </c>
      <c r="C338" s="64" t="s">
        <v>39</v>
      </c>
      <c r="D338" s="64">
        <v>153.80000000000001</v>
      </c>
      <c r="E338" s="64">
        <v>217.2</v>
      </c>
      <c r="F338" s="64">
        <v>169.6</v>
      </c>
      <c r="G338" s="64">
        <v>165.4</v>
      </c>
      <c r="H338" s="64">
        <v>208.1</v>
      </c>
      <c r="I338" s="64">
        <v>165.8</v>
      </c>
      <c r="J338" s="64">
        <v>167.3</v>
      </c>
      <c r="K338" s="64">
        <v>164.6</v>
      </c>
      <c r="L338" s="64">
        <v>119.1</v>
      </c>
      <c r="M338" s="64">
        <v>188.9</v>
      </c>
      <c r="N338" s="64">
        <v>174.2</v>
      </c>
      <c r="O338" s="64">
        <v>181.9</v>
      </c>
      <c r="P338" s="64">
        <v>172.4</v>
      </c>
      <c r="Q338" s="64">
        <v>192.9</v>
      </c>
      <c r="R338" s="64">
        <v>180.7</v>
      </c>
      <c r="S338" s="64">
        <v>178.7</v>
      </c>
      <c r="T338" s="64">
        <v>180.4</v>
      </c>
      <c r="U338" s="64">
        <v>167.8</v>
      </c>
      <c r="V338" s="64">
        <v>176.7</v>
      </c>
      <c r="W338" s="64">
        <v>170.3</v>
      </c>
      <c r="X338" s="64">
        <v>178.2</v>
      </c>
      <c r="Y338" s="64">
        <v>165.5</v>
      </c>
      <c r="Z338" s="64">
        <v>168</v>
      </c>
      <c r="AA338" s="64">
        <v>172.6</v>
      </c>
      <c r="AB338" s="64">
        <v>169.5</v>
      </c>
      <c r="AC338" s="64">
        <v>171</v>
      </c>
      <c r="AD338" s="64">
        <v>173.6</v>
      </c>
    </row>
    <row r="339" spans="1:30">
      <c r="A339" s="64" t="s">
        <v>33</v>
      </c>
      <c r="B339" s="64">
        <v>2022</v>
      </c>
      <c r="C339" s="64" t="s">
        <v>39</v>
      </c>
      <c r="D339" s="64">
        <v>157.5</v>
      </c>
      <c r="E339" s="64">
        <v>223.4</v>
      </c>
      <c r="F339" s="64">
        <v>172.8</v>
      </c>
      <c r="G339" s="64">
        <v>166.4</v>
      </c>
      <c r="H339" s="64">
        <v>188.6</v>
      </c>
      <c r="I339" s="64">
        <v>174.1</v>
      </c>
      <c r="J339" s="64">
        <v>211.5</v>
      </c>
      <c r="K339" s="64">
        <v>163.6</v>
      </c>
      <c r="L339" s="64">
        <v>121.4</v>
      </c>
      <c r="M339" s="64">
        <v>183.5</v>
      </c>
      <c r="N339" s="64">
        <v>159.1</v>
      </c>
      <c r="O339" s="64">
        <v>186.3</v>
      </c>
      <c r="P339" s="64">
        <v>179.3</v>
      </c>
      <c r="Q339" s="64">
        <v>198.3</v>
      </c>
      <c r="R339" s="64">
        <v>171.6</v>
      </c>
      <c r="S339" s="64">
        <v>157.4</v>
      </c>
      <c r="T339" s="64">
        <v>169.4</v>
      </c>
      <c r="U339" s="64">
        <v>166.8</v>
      </c>
      <c r="V339" s="64">
        <v>174.9</v>
      </c>
      <c r="W339" s="64">
        <v>162.1</v>
      </c>
      <c r="X339" s="64">
        <v>170.9</v>
      </c>
      <c r="Y339" s="64">
        <v>157.19999999999999</v>
      </c>
      <c r="Z339" s="64">
        <v>164.1</v>
      </c>
      <c r="AA339" s="64">
        <v>166.5</v>
      </c>
      <c r="AB339" s="64">
        <v>169.2</v>
      </c>
      <c r="AC339" s="64">
        <v>163.80000000000001</v>
      </c>
      <c r="AD339" s="64">
        <v>171.4</v>
      </c>
    </row>
    <row r="340" spans="1:30">
      <c r="A340" s="64" t="s">
        <v>34</v>
      </c>
      <c r="B340" s="64">
        <v>2022</v>
      </c>
      <c r="C340" s="64" t="s">
        <v>39</v>
      </c>
      <c r="D340" s="64">
        <v>155</v>
      </c>
      <c r="E340" s="64">
        <v>219.4</v>
      </c>
      <c r="F340" s="64">
        <v>170.8</v>
      </c>
      <c r="G340" s="64">
        <v>165.8</v>
      </c>
      <c r="H340" s="64">
        <v>200.9</v>
      </c>
      <c r="I340" s="64">
        <v>169.7</v>
      </c>
      <c r="J340" s="64">
        <v>182.3</v>
      </c>
      <c r="K340" s="64">
        <v>164.3</v>
      </c>
      <c r="L340" s="64">
        <v>119.9</v>
      </c>
      <c r="M340" s="64">
        <v>187.1</v>
      </c>
      <c r="N340" s="64">
        <v>167.9</v>
      </c>
      <c r="O340" s="64">
        <v>183.9</v>
      </c>
      <c r="P340" s="64">
        <v>174.9</v>
      </c>
      <c r="Q340" s="64">
        <v>194.3</v>
      </c>
      <c r="R340" s="64">
        <v>177.1</v>
      </c>
      <c r="S340" s="64">
        <v>169.9</v>
      </c>
      <c r="T340" s="64">
        <v>176</v>
      </c>
      <c r="U340" s="64">
        <v>166.8</v>
      </c>
      <c r="V340" s="64">
        <v>176</v>
      </c>
      <c r="W340" s="64">
        <v>166.4</v>
      </c>
      <c r="X340" s="64">
        <v>175.4</v>
      </c>
      <c r="Y340" s="64">
        <v>161.1</v>
      </c>
      <c r="Z340" s="64">
        <v>165.8</v>
      </c>
      <c r="AA340" s="64">
        <v>169</v>
      </c>
      <c r="AB340" s="64">
        <v>169.4</v>
      </c>
      <c r="AC340" s="64">
        <v>167.5</v>
      </c>
      <c r="AD340" s="64">
        <v>172.6</v>
      </c>
    </row>
    <row r="341" spans="1:30">
      <c r="A341" s="64" t="s">
        <v>30</v>
      </c>
      <c r="B341" s="64">
        <v>2022</v>
      </c>
      <c r="C341" s="64" t="s">
        <v>40</v>
      </c>
      <c r="D341" s="64">
        <v>155.19999999999999</v>
      </c>
      <c r="E341" s="64">
        <v>210.8</v>
      </c>
      <c r="F341" s="64">
        <v>174.3</v>
      </c>
      <c r="G341" s="64">
        <v>166.3</v>
      </c>
      <c r="H341" s="64">
        <v>202.2</v>
      </c>
      <c r="I341" s="64">
        <v>169.6</v>
      </c>
      <c r="J341" s="64">
        <v>168.6</v>
      </c>
      <c r="K341" s="64">
        <v>164.4</v>
      </c>
      <c r="L341" s="64">
        <v>119.2</v>
      </c>
      <c r="M341" s="64">
        <v>191.8</v>
      </c>
      <c r="N341" s="64">
        <v>174.5</v>
      </c>
      <c r="O341" s="64">
        <v>183.1</v>
      </c>
      <c r="P341" s="64">
        <v>172.5</v>
      </c>
      <c r="Q341" s="64">
        <v>193.2</v>
      </c>
      <c r="R341" s="64">
        <v>182</v>
      </c>
      <c r="S341" s="64">
        <v>180.3</v>
      </c>
      <c r="T341" s="64">
        <v>181.7</v>
      </c>
      <c r="U341" s="64">
        <v>169</v>
      </c>
      <c r="V341" s="64">
        <v>179.6</v>
      </c>
      <c r="W341" s="64">
        <v>171.3</v>
      </c>
      <c r="X341" s="64">
        <v>178.8</v>
      </c>
      <c r="Y341" s="64">
        <v>166.3</v>
      </c>
      <c r="Z341" s="64">
        <v>168.6</v>
      </c>
      <c r="AA341" s="64">
        <v>174.7</v>
      </c>
      <c r="AB341" s="64">
        <v>169.7</v>
      </c>
      <c r="AC341" s="64">
        <v>171.8</v>
      </c>
      <c r="AD341" s="64">
        <v>174.3</v>
      </c>
    </row>
    <row r="342" spans="1:30">
      <c r="A342" s="64" t="s">
        <v>33</v>
      </c>
      <c r="B342" s="64">
        <v>2022</v>
      </c>
      <c r="C342" s="64" t="s">
        <v>40</v>
      </c>
      <c r="D342" s="64">
        <v>159.30000000000001</v>
      </c>
      <c r="E342" s="64">
        <v>217.1</v>
      </c>
      <c r="F342" s="64">
        <v>176.6</v>
      </c>
      <c r="G342" s="64">
        <v>167.1</v>
      </c>
      <c r="H342" s="64">
        <v>184.8</v>
      </c>
      <c r="I342" s="64">
        <v>179.5</v>
      </c>
      <c r="J342" s="64">
        <v>208.5</v>
      </c>
      <c r="K342" s="64">
        <v>164</v>
      </c>
      <c r="L342" s="64">
        <v>121.5</v>
      </c>
      <c r="M342" s="64">
        <v>186.3</v>
      </c>
      <c r="N342" s="64">
        <v>159.80000000000001</v>
      </c>
      <c r="O342" s="64">
        <v>187.7</v>
      </c>
      <c r="P342" s="64">
        <v>179.4</v>
      </c>
      <c r="Q342" s="64">
        <v>198.6</v>
      </c>
      <c r="R342" s="64">
        <v>172.7</v>
      </c>
      <c r="S342" s="64">
        <v>158.69999999999999</v>
      </c>
      <c r="T342" s="64">
        <v>170.6</v>
      </c>
      <c r="U342" s="64">
        <v>167.8</v>
      </c>
      <c r="V342" s="64">
        <v>179.5</v>
      </c>
      <c r="W342" s="64">
        <v>163.1</v>
      </c>
      <c r="X342" s="64">
        <v>171.7</v>
      </c>
      <c r="Y342" s="64">
        <v>157.4</v>
      </c>
      <c r="Z342" s="64">
        <v>164.6</v>
      </c>
      <c r="AA342" s="64">
        <v>169.1</v>
      </c>
      <c r="AB342" s="64">
        <v>169.8</v>
      </c>
      <c r="AC342" s="64">
        <v>164.7</v>
      </c>
      <c r="AD342" s="64">
        <v>172.3</v>
      </c>
    </row>
    <row r="343" spans="1:30">
      <c r="A343" s="64" t="s">
        <v>34</v>
      </c>
      <c r="B343" s="64">
        <v>2022</v>
      </c>
      <c r="C343" s="64" t="s">
        <v>40</v>
      </c>
      <c r="D343" s="64">
        <v>156.5</v>
      </c>
      <c r="E343" s="64">
        <v>213</v>
      </c>
      <c r="F343" s="64">
        <v>175.2</v>
      </c>
      <c r="G343" s="64">
        <v>166.6</v>
      </c>
      <c r="H343" s="64">
        <v>195.8</v>
      </c>
      <c r="I343" s="64">
        <v>174.2</v>
      </c>
      <c r="J343" s="64">
        <v>182.1</v>
      </c>
      <c r="K343" s="64">
        <v>164.3</v>
      </c>
      <c r="L343" s="64">
        <v>120</v>
      </c>
      <c r="M343" s="64">
        <v>190</v>
      </c>
      <c r="N343" s="64">
        <v>168.4</v>
      </c>
      <c r="O343" s="64">
        <v>185.2</v>
      </c>
      <c r="P343" s="64">
        <v>175</v>
      </c>
      <c r="Q343" s="64">
        <v>194.6</v>
      </c>
      <c r="R343" s="64">
        <v>178.3</v>
      </c>
      <c r="S343" s="64">
        <v>171.3</v>
      </c>
      <c r="T343" s="64">
        <v>177.3</v>
      </c>
      <c r="U343" s="64">
        <v>167.8</v>
      </c>
      <c r="V343" s="64">
        <v>179.6</v>
      </c>
      <c r="W343" s="64">
        <v>167.4</v>
      </c>
      <c r="X343" s="64">
        <v>176.1</v>
      </c>
      <c r="Y343" s="64">
        <v>161.6</v>
      </c>
      <c r="Z343" s="64">
        <v>166.3</v>
      </c>
      <c r="AA343" s="64">
        <v>171.4</v>
      </c>
      <c r="AB343" s="64">
        <v>169.7</v>
      </c>
      <c r="AC343" s="64">
        <v>168.4</v>
      </c>
      <c r="AD343" s="64">
        <v>173.4</v>
      </c>
    </row>
    <row r="344" spans="1:30">
      <c r="A344" s="64" t="s">
        <v>30</v>
      </c>
      <c r="B344" s="64">
        <v>2022</v>
      </c>
      <c r="C344" s="64" t="s">
        <v>41</v>
      </c>
      <c r="D344" s="64">
        <v>159.5</v>
      </c>
      <c r="E344" s="64">
        <v>204.1</v>
      </c>
      <c r="F344" s="64">
        <v>168.3</v>
      </c>
      <c r="G344" s="64">
        <v>167.9</v>
      </c>
      <c r="H344" s="64">
        <v>198.1</v>
      </c>
      <c r="I344" s="64">
        <v>169.2</v>
      </c>
      <c r="J344" s="64">
        <v>173.1</v>
      </c>
      <c r="K344" s="64">
        <v>167.1</v>
      </c>
      <c r="L344" s="64">
        <v>120.2</v>
      </c>
      <c r="M344" s="64">
        <v>195.6</v>
      </c>
      <c r="N344" s="64">
        <v>174.8</v>
      </c>
      <c r="O344" s="64">
        <v>184</v>
      </c>
      <c r="P344" s="64">
        <v>173.9</v>
      </c>
      <c r="Q344" s="64">
        <v>193.7</v>
      </c>
      <c r="R344" s="64">
        <v>183.2</v>
      </c>
      <c r="S344" s="64">
        <v>181.7</v>
      </c>
      <c r="T344" s="64">
        <v>183</v>
      </c>
      <c r="U344" s="64">
        <v>169.5</v>
      </c>
      <c r="V344" s="64">
        <v>179.1</v>
      </c>
      <c r="W344" s="64">
        <v>172.3</v>
      </c>
      <c r="X344" s="64">
        <v>179.4</v>
      </c>
      <c r="Y344" s="64">
        <v>166.6</v>
      </c>
      <c r="Z344" s="64">
        <v>169.3</v>
      </c>
      <c r="AA344" s="64">
        <v>175.7</v>
      </c>
      <c r="AB344" s="64">
        <v>171.1</v>
      </c>
      <c r="AC344" s="64">
        <v>172.6</v>
      </c>
      <c r="AD344" s="64">
        <v>175.3</v>
      </c>
    </row>
    <row r="345" spans="1:30">
      <c r="A345" s="64" t="s">
        <v>33</v>
      </c>
      <c r="B345" s="64">
        <v>2022</v>
      </c>
      <c r="C345" s="64" t="s">
        <v>41</v>
      </c>
      <c r="D345" s="64">
        <v>162.1</v>
      </c>
      <c r="E345" s="64">
        <v>210.9</v>
      </c>
      <c r="F345" s="64">
        <v>170.6</v>
      </c>
      <c r="G345" s="64">
        <v>168.4</v>
      </c>
      <c r="H345" s="64">
        <v>182.5</v>
      </c>
      <c r="I345" s="64">
        <v>177.1</v>
      </c>
      <c r="J345" s="64">
        <v>213.1</v>
      </c>
      <c r="K345" s="64">
        <v>167.3</v>
      </c>
      <c r="L345" s="64">
        <v>122.2</v>
      </c>
      <c r="M345" s="64">
        <v>189.7</v>
      </c>
      <c r="N345" s="64">
        <v>160.5</v>
      </c>
      <c r="O345" s="64">
        <v>188.9</v>
      </c>
      <c r="P345" s="64">
        <v>180.4</v>
      </c>
      <c r="Q345" s="64">
        <v>198.7</v>
      </c>
      <c r="R345" s="64">
        <v>173.7</v>
      </c>
      <c r="S345" s="64">
        <v>160</v>
      </c>
      <c r="T345" s="64">
        <v>171.6</v>
      </c>
      <c r="U345" s="64">
        <v>169</v>
      </c>
      <c r="V345" s="64">
        <v>178.4</v>
      </c>
      <c r="W345" s="64">
        <v>164.2</v>
      </c>
      <c r="X345" s="64">
        <v>172.6</v>
      </c>
      <c r="Y345" s="64">
        <v>157.69999999999999</v>
      </c>
      <c r="Z345" s="64">
        <v>165.1</v>
      </c>
      <c r="AA345" s="64">
        <v>169.9</v>
      </c>
      <c r="AB345" s="64">
        <v>171.4</v>
      </c>
      <c r="AC345" s="64">
        <v>165.4</v>
      </c>
      <c r="AD345" s="64">
        <v>173.1</v>
      </c>
    </row>
    <row r="346" spans="1:30">
      <c r="A346" s="64" t="s">
        <v>34</v>
      </c>
      <c r="B346" s="64">
        <v>2022</v>
      </c>
      <c r="C346" s="64" t="s">
        <v>41</v>
      </c>
      <c r="D346" s="64">
        <v>160.30000000000001</v>
      </c>
      <c r="E346" s="64">
        <v>206.5</v>
      </c>
      <c r="F346" s="64">
        <v>169.2</v>
      </c>
      <c r="G346" s="64">
        <v>168.1</v>
      </c>
      <c r="H346" s="64">
        <v>192.4</v>
      </c>
      <c r="I346" s="64">
        <v>172.9</v>
      </c>
      <c r="J346" s="64">
        <v>186.7</v>
      </c>
      <c r="K346" s="64">
        <v>167.2</v>
      </c>
      <c r="L346" s="64">
        <v>120.9</v>
      </c>
      <c r="M346" s="64">
        <v>193.6</v>
      </c>
      <c r="N346" s="64">
        <v>168.8</v>
      </c>
      <c r="O346" s="64">
        <v>186.3</v>
      </c>
      <c r="P346" s="64">
        <v>176.3</v>
      </c>
      <c r="Q346" s="64">
        <v>195</v>
      </c>
      <c r="R346" s="64">
        <v>179.5</v>
      </c>
      <c r="S346" s="64">
        <v>172.7</v>
      </c>
      <c r="T346" s="64">
        <v>178.5</v>
      </c>
      <c r="U346" s="64">
        <v>169</v>
      </c>
      <c r="V346" s="64">
        <v>178.8</v>
      </c>
      <c r="W346" s="64">
        <v>168.5</v>
      </c>
      <c r="X346" s="64">
        <v>176.8</v>
      </c>
      <c r="Y346" s="64">
        <v>161.9</v>
      </c>
      <c r="Z346" s="64">
        <v>166.9</v>
      </c>
      <c r="AA346" s="64">
        <v>172.3</v>
      </c>
      <c r="AB346" s="64">
        <v>171.2</v>
      </c>
      <c r="AC346" s="64">
        <v>169.1</v>
      </c>
      <c r="AD346" s="64">
        <v>174.3</v>
      </c>
    </row>
    <row r="347" spans="1:30">
      <c r="A347" s="64" t="s">
        <v>30</v>
      </c>
      <c r="B347" s="64">
        <v>2022</v>
      </c>
      <c r="C347" s="64" t="s">
        <v>42</v>
      </c>
      <c r="D347" s="64">
        <v>162.9</v>
      </c>
      <c r="E347" s="64">
        <v>206.7</v>
      </c>
      <c r="F347" s="64">
        <v>169</v>
      </c>
      <c r="G347" s="64">
        <v>169.5</v>
      </c>
      <c r="H347" s="64">
        <v>194.1</v>
      </c>
      <c r="I347" s="64">
        <v>164.1</v>
      </c>
      <c r="J347" s="64">
        <v>176.9</v>
      </c>
      <c r="K347" s="64">
        <v>169</v>
      </c>
      <c r="L347" s="64">
        <v>120.8</v>
      </c>
      <c r="M347" s="64">
        <v>199.1</v>
      </c>
      <c r="N347" s="64">
        <v>175.4</v>
      </c>
      <c r="O347" s="64">
        <v>184.8</v>
      </c>
      <c r="P347" s="64">
        <v>175.5</v>
      </c>
      <c r="Q347" s="64">
        <v>194.5</v>
      </c>
      <c r="R347" s="64">
        <v>184.7</v>
      </c>
      <c r="S347" s="64">
        <v>183.3</v>
      </c>
      <c r="T347" s="64">
        <v>184.5</v>
      </c>
      <c r="U347" s="64">
        <v>171.3</v>
      </c>
      <c r="V347" s="64">
        <v>179.7</v>
      </c>
      <c r="W347" s="64">
        <v>173.6</v>
      </c>
      <c r="X347" s="64">
        <v>180.2</v>
      </c>
      <c r="Y347" s="64">
        <v>166.9</v>
      </c>
      <c r="Z347" s="64">
        <v>170</v>
      </c>
      <c r="AA347" s="64">
        <v>176.2</v>
      </c>
      <c r="AB347" s="64">
        <v>170.8</v>
      </c>
      <c r="AC347" s="64">
        <v>173.1</v>
      </c>
      <c r="AD347" s="64">
        <v>176.4</v>
      </c>
    </row>
    <row r="348" spans="1:30">
      <c r="A348" s="64" t="s">
        <v>33</v>
      </c>
      <c r="B348" s="64">
        <v>2022</v>
      </c>
      <c r="C348" s="64" t="s">
        <v>42</v>
      </c>
      <c r="D348" s="64">
        <v>164.9</v>
      </c>
      <c r="E348" s="64">
        <v>213.7</v>
      </c>
      <c r="F348" s="64">
        <v>170.9</v>
      </c>
      <c r="G348" s="64">
        <v>170.1</v>
      </c>
      <c r="H348" s="64">
        <v>179.3</v>
      </c>
      <c r="I348" s="64">
        <v>167.5</v>
      </c>
      <c r="J348" s="64">
        <v>220.8</v>
      </c>
      <c r="K348" s="64">
        <v>169.2</v>
      </c>
      <c r="L348" s="64">
        <v>123.1</v>
      </c>
      <c r="M348" s="64">
        <v>193.6</v>
      </c>
      <c r="N348" s="64">
        <v>161.1</v>
      </c>
      <c r="O348" s="64">
        <v>190.4</v>
      </c>
      <c r="P348" s="64">
        <v>181.8</v>
      </c>
      <c r="Q348" s="64">
        <v>199.7</v>
      </c>
      <c r="R348" s="64">
        <v>175</v>
      </c>
      <c r="S348" s="64">
        <v>161.69999999999999</v>
      </c>
      <c r="T348" s="64">
        <v>173</v>
      </c>
      <c r="U348" s="64">
        <v>169.5</v>
      </c>
      <c r="V348" s="64">
        <v>179.2</v>
      </c>
      <c r="W348" s="64">
        <v>165</v>
      </c>
      <c r="X348" s="64">
        <v>173.8</v>
      </c>
      <c r="Y348" s="64">
        <v>158.19999999999999</v>
      </c>
      <c r="Z348" s="64">
        <v>165.8</v>
      </c>
      <c r="AA348" s="64">
        <v>170.9</v>
      </c>
      <c r="AB348" s="64">
        <v>171.1</v>
      </c>
      <c r="AC348" s="64">
        <v>166.1</v>
      </c>
      <c r="AD348" s="64">
        <v>174.1</v>
      </c>
    </row>
    <row r="349" spans="1:30">
      <c r="A349" s="64" t="s">
        <v>34</v>
      </c>
      <c r="B349" s="64">
        <v>2022</v>
      </c>
      <c r="C349" s="64" t="s">
        <v>42</v>
      </c>
      <c r="D349" s="64">
        <v>163.5</v>
      </c>
      <c r="E349" s="64">
        <v>209.2</v>
      </c>
      <c r="F349" s="64">
        <v>169.7</v>
      </c>
      <c r="G349" s="64">
        <v>169.7</v>
      </c>
      <c r="H349" s="64">
        <v>188.7</v>
      </c>
      <c r="I349" s="64">
        <v>165.7</v>
      </c>
      <c r="J349" s="64">
        <v>191.8</v>
      </c>
      <c r="K349" s="64">
        <v>169.1</v>
      </c>
      <c r="L349" s="64">
        <v>121.6</v>
      </c>
      <c r="M349" s="64">
        <v>197.3</v>
      </c>
      <c r="N349" s="64">
        <v>169.4</v>
      </c>
      <c r="O349" s="64">
        <v>187.4</v>
      </c>
      <c r="P349" s="64">
        <v>177.8</v>
      </c>
      <c r="Q349" s="64">
        <v>195.9</v>
      </c>
      <c r="R349" s="64">
        <v>180.9</v>
      </c>
      <c r="S349" s="64">
        <v>174.3</v>
      </c>
      <c r="T349" s="64">
        <v>179.9</v>
      </c>
      <c r="U349" s="64">
        <v>169.5</v>
      </c>
      <c r="V349" s="64">
        <v>179.5</v>
      </c>
      <c r="W349" s="64">
        <v>169.5</v>
      </c>
      <c r="X349" s="64">
        <v>177.8</v>
      </c>
      <c r="Y349" s="64">
        <v>162.30000000000001</v>
      </c>
      <c r="Z349" s="64">
        <v>167.6</v>
      </c>
      <c r="AA349" s="64">
        <v>173.1</v>
      </c>
      <c r="AB349" s="64">
        <v>170.9</v>
      </c>
      <c r="AC349" s="64">
        <v>169.7</v>
      </c>
      <c r="AD349" s="64">
        <v>175.3</v>
      </c>
    </row>
    <row r="350" spans="1:30">
      <c r="A350" s="64" t="s">
        <v>30</v>
      </c>
      <c r="B350" s="64">
        <v>2022</v>
      </c>
      <c r="C350" s="64" t="s">
        <v>43</v>
      </c>
      <c r="D350" s="64">
        <v>164.7</v>
      </c>
      <c r="E350" s="64">
        <v>208.8</v>
      </c>
      <c r="F350" s="64">
        <v>170.3</v>
      </c>
      <c r="G350" s="64">
        <v>170.9</v>
      </c>
      <c r="H350" s="64">
        <v>191.6</v>
      </c>
      <c r="I350" s="64">
        <v>162.19999999999999</v>
      </c>
      <c r="J350" s="64">
        <v>184.8</v>
      </c>
      <c r="K350" s="64">
        <v>169.7</v>
      </c>
      <c r="L350" s="64">
        <v>121.1</v>
      </c>
      <c r="M350" s="64">
        <v>201.6</v>
      </c>
      <c r="N350" s="64">
        <v>175.8</v>
      </c>
      <c r="O350" s="64">
        <v>185.6</v>
      </c>
      <c r="P350" s="64">
        <v>177.4</v>
      </c>
      <c r="Q350" s="64">
        <v>194.9</v>
      </c>
      <c r="R350" s="64">
        <v>186.1</v>
      </c>
      <c r="S350" s="64">
        <v>184.4</v>
      </c>
      <c r="T350" s="64">
        <v>185.9</v>
      </c>
      <c r="U350" s="64">
        <v>171.8</v>
      </c>
      <c r="V350" s="64">
        <v>180.8</v>
      </c>
      <c r="W350" s="64">
        <v>174.4</v>
      </c>
      <c r="X350" s="64">
        <v>181.2</v>
      </c>
      <c r="Y350" s="64">
        <v>167.4</v>
      </c>
      <c r="Z350" s="64">
        <v>170.6</v>
      </c>
      <c r="AA350" s="64">
        <v>176.5</v>
      </c>
      <c r="AB350" s="64">
        <v>172</v>
      </c>
      <c r="AC350" s="64">
        <v>173.9</v>
      </c>
      <c r="AD350" s="64">
        <v>177.9</v>
      </c>
    </row>
    <row r="351" spans="1:30">
      <c r="A351" s="64" t="s">
        <v>33</v>
      </c>
      <c r="B351" s="64">
        <v>2022</v>
      </c>
      <c r="C351" s="64" t="s">
        <v>43</v>
      </c>
      <c r="D351" s="64">
        <v>166.4</v>
      </c>
      <c r="E351" s="64">
        <v>214.9</v>
      </c>
      <c r="F351" s="64">
        <v>171.9</v>
      </c>
      <c r="G351" s="64">
        <v>171</v>
      </c>
      <c r="H351" s="64">
        <v>177.7</v>
      </c>
      <c r="I351" s="64">
        <v>165.7</v>
      </c>
      <c r="J351" s="64">
        <v>228.6</v>
      </c>
      <c r="K351" s="64">
        <v>169.9</v>
      </c>
      <c r="L351" s="64">
        <v>123.4</v>
      </c>
      <c r="M351" s="64">
        <v>196.4</v>
      </c>
      <c r="N351" s="64">
        <v>161.6</v>
      </c>
      <c r="O351" s="64">
        <v>191.5</v>
      </c>
      <c r="P351" s="64">
        <v>183.3</v>
      </c>
      <c r="Q351" s="64">
        <v>200.1</v>
      </c>
      <c r="R351" s="64">
        <v>175.5</v>
      </c>
      <c r="S351" s="64">
        <v>162.6</v>
      </c>
      <c r="T351" s="64">
        <v>173.6</v>
      </c>
      <c r="U351" s="64">
        <v>171.2</v>
      </c>
      <c r="V351" s="64">
        <v>180</v>
      </c>
      <c r="W351" s="64">
        <v>166</v>
      </c>
      <c r="X351" s="64">
        <v>174.7</v>
      </c>
      <c r="Y351" s="64">
        <v>158.80000000000001</v>
      </c>
      <c r="Z351" s="64">
        <v>166.3</v>
      </c>
      <c r="AA351" s="64">
        <v>171.2</v>
      </c>
      <c r="AB351" s="64">
        <v>172.3</v>
      </c>
      <c r="AC351" s="64">
        <v>166.8</v>
      </c>
      <c r="AD351" s="64">
        <v>175.3</v>
      </c>
    </row>
    <row r="352" spans="1:30">
      <c r="A352" s="64" t="s">
        <v>34</v>
      </c>
      <c r="B352" s="64">
        <v>2022</v>
      </c>
      <c r="C352" s="64" t="s">
        <v>43</v>
      </c>
      <c r="D352" s="64">
        <v>165.2</v>
      </c>
      <c r="E352" s="64">
        <v>210.9</v>
      </c>
      <c r="F352" s="64">
        <v>170.9</v>
      </c>
      <c r="G352" s="64">
        <v>170.9</v>
      </c>
      <c r="H352" s="64">
        <v>186.5</v>
      </c>
      <c r="I352" s="64">
        <v>163.80000000000001</v>
      </c>
      <c r="J352" s="64">
        <v>199.7</v>
      </c>
      <c r="K352" s="64">
        <v>169.8</v>
      </c>
      <c r="L352" s="64">
        <v>121.9</v>
      </c>
      <c r="M352" s="64">
        <v>199.9</v>
      </c>
      <c r="N352" s="64">
        <v>169.9</v>
      </c>
      <c r="O352" s="64">
        <v>188.3</v>
      </c>
      <c r="P352" s="64">
        <v>179.6</v>
      </c>
      <c r="Q352" s="64">
        <v>196.3</v>
      </c>
      <c r="R352" s="64">
        <v>181.9</v>
      </c>
      <c r="S352" s="64">
        <v>175.3</v>
      </c>
      <c r="T352" s="64">
        <v>181</v>
      </c>
      <c r="U352" s="64">
        <v>171.2</v>
      </c>
      <c r="V352" s="64">
        <v>180.5</v>
      </c>
      <c r="W352" s="64">
        <v>170.4</v>
      </c>
      <c r="X352" s="64">
        <v>178.7</v>
      </c>
      <c r="Y352" s="64">
        <v>162.9</v>
      </c>
      <c r="Z352" s="64">
        <v>168.2</v>
      </c>
      <c r="AA352" s="64">
        <v>173.4</v>
      </c>
      <c r="AB352" s="64">
        <v>172.1</v>
      </c>
      <c r="AC352" s="64">
        <v>170.5</v>
      </c>
      <c r="AD352" s="64">
        <v>176.7</v>
      </c>
    </row>
    <row r="353" spans="1:30">
      <c r="A353" s="64" t="s">
        <v>30</v>
      </c>
      <c r="B353" s="64">
        <v>2022</v>
      </c>
      <c r="C353" s="64" t="s">
        <v>45</v>
      </c>
      <c r="D353" s="64">
        <v>166.9</v>
      </c>
      <c r="E353" s="64">
        <v>207.2</v>
      </c>
      <c r="F353" s="64">
        <v>180.2</v>
      </c>
      <c r="G353" s="64">
        <v>172.3</v>
      </c>
      <c r="H353" s="64">
        <v>194</v>
      </c>
      <c r="I353" s="64">
        <v>159.1</v>
      </c>
      <c r="J353" s="64">
        <v>171.6</v>
      </c>
      <c r="K353" s="64">
        <v>170.2</v>
      </c>
      <c r="L353" s="64">
        <v>121.5</v>
      </c>
      <c r="M353" s="64">
        <v>204.8</v>
      </c>
      <c r="N353" s="64">
        <v>176.4</v>
      </c>
      <c r="O353" s="64">
        <v>186.9</v>
      </c>
      <c r="P353" s="64">
        <v>176.6</v>
      </c>
      <c r="Q353" s="64">
        <v>195.5</v>
      </c>
      <c r="R353" s="64">
        <v>187.2</v>
      </c>
      <c r="S353" s="64">
        <v>185.2</v>
      </c>
      <c r="T353" s="64">
        <v>186.9</v>
      </c>
      <c r="U353" s="64">
        <v>170.7</v>
      </c>
      <c r="V353" s="64">
        <v>181.9</v>
      </c>
      <c r="W353" s="64">
        <v>175.5</v>
      </c>
      <c r="X353" s="64">
        <v>182.3</v>
      </c>
      <c r="Y353" s="64">
        <v>167.5</v>
      </c>
      <c r="Z353" s="64">
        <v>170.8</v>
      </c>
      <c r="AA353" s="64">
        <v>176.9</v>
      </c>
      <c r="AB353" s="64">
        <v>173.4</v>
      </c>
      <c r="AC353" s="64">
        <v>174.6</v>
      </c>
      <c r="AD353" s="64">
        <v>177.8</v>
      </c>
    </row>
    <row r="354" spans="1:30">
      <c r="A354" s="64" t="s">
        <v>33</v>
      </c>
      <c r="B354" s="64">
        <v>2022</v>
      </c>
      <c r="C354" s="64" t="s">
        <v>45</v>
      </c>
      <c r="D354" s="64">
        <v>168.4</v>
      </c>
      <c r="E354" s="64">
        <v>213.4</v>
      </c>
      <c r="F354" s="64">
        <v>183.2</v>
      </c>
      <c r="G354" s="64">
        <v>172.3</v>
      </c>
      <c r="H354" s="64">
        <v>180</v>
      </c>
      <c r="I354" s="64">
        <v>162.6</v>
      </c>
      <c r="J354" s="64">
        <v>205.5</v>
      </c>
      <c r="K354" s="64">
        <v>171</v>
      </c>
      <c r="L354" s="64">
        <v>123.4</v>
      </c>
      <c r="M354" s="64">
        <v>198.8</v>
      </c>
      <c r="N354" s="64">
        <v>162.1</v>
      </c>
      <c r="O354" s="64">
        <v>192.4</v>
      </c>
      <c r="P354" s="64">
        <v>181.3</v>
      </c>
      <c r="Q354" s="64">
        <v>200.6</v>
      </c>
      <c r="R354" s="64">
        <v>176.7</v>
      </c>
      <c r="S354" s="64">
        <v>163.5</v>
      </c>
      <c r="T354" s="64">
        <v>174.7</v>
      </c>
      <c r="U354" s="64">
        <v>171.8</v>
      </c>
      <c r="V354" s="64">
        <v>180.3</v>
      </c>
      <c r="W354" s="64">
        <v>166.9</v>
      </c>
      <c r="X354" s="64">
        <v>175.8</v>
      </c>
      <c r="Y354" s="64">
        <v>158.9</v>
      </c>
      <c r="Z354" s="64">
        <v>166.7</v>
      </c>
      <c r="AA354" s="64">
        <v>171.5</v>
      </c>
      <c r="AB354" s="64">
        <v>173.8</v>
      </c>
      <c r="AC354" s="64">
        <v>167.4</v>
      </c>
      <c r="AD354" s="64">
        <v>174.1</v>
      </c>
    </row>
    <row r="355" spans="1:30">
      <c r="A355" s="64" t="s">
        <v>34</v>
      </c>
      <c r="B355" s="64">
        <v>2022</v>
      </c>
      <c r="C355" s="64" t="s">
        <v>45</v>
      </c>
      <c r="D355" s="64">
        <v>167.4</v>
      </c>
      <c r="E355" s="64">
        <v>209.4</v>
      </c>
      <c r="F355" s="64">
        <v>181.4</v>
      </c>
      <c r="G355" s="64">
        <v>172.3</v>
      </c>
      <c r="H355" s="64">
        <v>188.9</v>
      </c>
      <c r="I355" s="64">
        <v>160.69999999999999</v>
      </c>
      <c r="J355" s="64">
        <v>183.1</v>
      </c>
      <c r="K355" s="64">
        <v>170.5</v>
      </c>
      <c r="L355" s="64">
        <v>122.1</v>
      </c>
      <c r="M355" s="64">
        <v>202.8</v>
      </c>
      <c r="N355" s="64">
        <v>170.4</v>
      </c>
      <c r="O355" s="64">
        <v>189.5</v>
      </c>
      <c r="P355" s="64">
        <v>178.3</v>
      </c>
      <c r="Q355" s="64">
        <v>196.9</v>
      </c>
      <c r="R355" s="64">
        <v>183.1</v>
      </c>
      <c r="S355" s="64">
        <v>176.2</v>
      </c>
      <c r="T355" s="64">
        <v>182.1</v>
      </c>
      <c r="U355" s="64">
        <v>171.8</v>
      </c>
      <c r="V355" s="64">
        <v>181.3</v>
      </c>
      <c r="W355" s="64">
        <v>171.4</v>
      </c>
      <c r="X355" s="64">
        <v>179.8</v>
      </c>
      <c r="Y355" s="64">
        <v>163</v>
      </c>
      <c r="Z355" s="64">
        <v>168.5</v>
      </c>
      <c r="AA355" s="64">
        <v>173.7</v>
      </c>
      <c r="AB355" s="64">
        <v>173.6</v>
      </c>
      <c r="AC355" s="64">
        <v>171.1</v>
      </c>
      <c r="AD355" s="64">
        <v>176.5</v>
      </c>
    </row>
    <row r="356" spans="1:30">
      <c r="A356" s="64" t="s">
        <v>30</v>
      </c>
      <c r="B356" s="64">
        <v>2022</v>
      </c>
      <c r="C356" s="64" t="s">
        <v>46</v>
      </c>
      <c r="D356" s="64">
        <v>168.8</v>
      </c>
      <c r="E356" s="64">
        <v>206.9</v>
      </c>
      <c r="F356" s="64">
        <v>189.1</v>
      </c>
      <c r="G356" s="64">
        <v>173.4</v>
      </c>
      <c r="H356" s="64">
        <v>193.9</v>
      </c>
      <c r="I356" s="64">
        <v>156.69999999999999</v>
      </c>
      <c r="J356" s="64">
        <v>150.19999999999999</v>
      </c>
      <c r="K356" s="64">
        <v>170.5</v>
      </c>
      <c r="L356" s="64">
        <v>121.2</v>
      </c>
      <c r="M356" s="64">
        <v>207.5</v>
      </c>
      <c r="N356" s="64">
        <v>176.8</v>
      </c>
      <c r="O356" s="64">
        <v>187.7</v>
      </c>
      <c r="P356" s="64">
        <v>174.4</v>
      </c>
      <c r="Q356" s="64">
        <v>195.9</v>
      </c>
      <c r="R356" s="64">
        <v>188.1</v>
      </c>
      <c r="S356" s="64">
        <v>185.9</v>
      </c>
      <c r="T356" s="64">
        <v>187.8</v>
      </c>
      <c r="U356" s="64">
        <v>172.1</v>
      </c>
      <c r="V356" s="64">
        <v>182.8</v>
      </c>
      <c r="W356" s="64">
        <v>176.4</v>
      </c>
      <c r="X356" s="64">
        <v>183.5</v>
      </c>
      <c r="Y356" s="64">
        <v>167.8</v>
      </c>
      <c r="Z356" s="64">
        <v>171.2</v>
      </c>
      <c r="AA356" s="64">
        <v>177.3</v>
      </c>
      <c r="AB356" s="64">
        <v>175.7</v>
      </c>
      <c r="AC356" s="64">
        <v>175.5</v>
      </c>
      <c r="AD356" s="64">
        <v>177.1</v>
      </c>
    </row>
    <row r="357" spans="1:30">
      <c r="A357" s="64" t="s">
        <v>33</v>
      </c>
      <c r="B357" s="64">
        <v>2022</v>
      </c>
      <c r="C357" s="64" t="s">
        <v>46</v>
      </c>
      <c r="D357" s="64">
        <v>170.2</v>
      </c>
      <c r="E357" s="64">
        <v>212.9</v>
      </c>
      <c r="F357" s="64">
        <v>191.9</v>
      </c>
      <c r="G357" s="64">
        <v>173.9</v>
      </c>
      <c r="H357" s="64">
        <v>179.1</v>
      </c>
      <c r="I357" s="64">
        <v>159.5</v>
      </c>
      <c r="J357" s="64">
        <v>178.7</v>
      </c>
      <c r="K357" s="64">
        <v>171.3</v>
      </c>
      <c r="L357" s="64">
        <v>123.1</v>
      </c>
      <c r="M357" s="64">
        <v>200.5</v>
      </c>
      <c r="N357" s="64">
        <v>162.80000000000001</v>
      </c>
      <c r="O357" s="64">
        <v>193.3</v>
      </c>
      <c r="P357" s="64">
        <v>178.6</v>
      </c>
      <c r="Q357" s="64">
        <v>201.1</v>
      </c>
      <c r="R357" s="64">
        <v>177.7</v>
      </c>
      <c r="S357" s="64">
        <v>164.5</v>
      </c>
      <c r="T357" s="64">
        <v>175.7</v>
      </c>
      <c r="U357" s="64">
        <v>170.7</v>
      </c>
      <c r="V357" s="64">
        <v>180.6</v>
      </c>
      <c r="W357" s="64">
        <v>167.3</v>
      </c>
      <c r="X357" s="64">
        <v>177.2</v>
      </c>
      <c r="Y357" s="64">
        <v>159.4</v>
      </c>
      <c r="Z357" s="64">
        <v>167.1</v>
      </c>
      <c r="AA357" s="64">
        <v>171.8</v>
      </c>
      <c r="AB357" s="64">
        <v>176</v>
      </c>
      <c r="AC357" s="64">
        <v>168.2</v>
      </c>
      <c r="AD357" s="64">
        <v>174.1</v>
      </c>
    </row>
    <row r="358" spans="1:30">
      <c r="A358" s="64" t="s">
        <v>34</v>
      </c>
      <c r="B358" s="64">
        <v>2022</v>
      </c>
      <c r="C358" s="64" t="s">
        <v>46</v>
      </c>
      <c r="D358" s="64">
        <v>169.2</v>
      </c>
      <c r="E358" s="64">
        <v>209</v>
      </c>
      <c r="F358" s="64">
        <v>190.2</v>
      </c>
      <c r="G358" s="64">
        <v>173.6</v>
      </c>
      <c r="H358" s="64">
        <v>188.5</v>
      </c>
      <c r="I358" s="64">
        <v>158</v>
      </c>
      <c r="J358" s="64">
        <v>159.9</v>
      </c>
      <c r="K358" s="64">
        <v>170.8</v>
      </c>
      <c r="L358" s="64">
        <v>121.8</v>
      </c>
      <c r="M358" s="64">
        <v>205.2</v>
      </c>
      <c r="N358" s="64">
        <v>171</v>
      </c>
      <c r="O358" s="64">
        <v>190.3</v>
      </c>
      <c r="P358" s="64">
        <v>175.9</v>
      </c>
      <c r="Q358" s="64">
        <v>197.3</v>
      </c>
      <c r="R358" s="64">
        <v>184</v>
      </c>
      <c r="S358" s="64">
        <v>177</v>
      </c>
      <c r="T358" s="64">
        <v>183</v>
      </c>
      <c r="U358" s="64">
        <v>170.7</v>
      </c>
      <c r="V358" s="64">
        <v>182</v>
      </c>
      <c r="W358" s="64">
        <v>172.1</v>
      </c>
      <c r="X358" s="64">
        <v>181.1</v>
      </c>
      <c r="Y358" s="64">
        <v>163.4</v>
      </c>
      <c r="Z358" s="64">
        <v>168.9</v>
      </c>
      <c r="AA358" s="64">
        <v>174.1</v>
      </c>
      <c r="AB358" s="64">
        <v>175.8</v>
      </c>
      <c r="AC358" s="64">
        <v>172</v>
      </c>
      <c r="AD358" s="64">
        <v>175.7</v>
      </c>
    </row>
    <row r="359" spans="1:30">
      <c r="A359" s="64" t="s">
        <v>30</v>
      </c>
      <c r="B359" s="64">
        <v>2023</v>
      </c>
      <c r="C359" s="64" t="s">
        <v>31</v>
      </c>
      <c r="D359" s="64">
        <v>174</v>
      </c>
      <c r="E359" s="64">
        <v>208.3</v>
      </c>
      <c r="F359" s="64">
        <v>192.9</v>
      </c>
      <c r="G359" s="64">
        <v>174.3</v>
      </c>
      <c r="H359" s="64">
        <v>192.6</v>
      </c>
      <c r="I359" s="64">
        <v>156.30000000000001</v>
      </c>
      <c r="J359" s="64">
        <v>142.9</v>
      </c>
      <c r="K359" s="64">
        <v>170.7</v>
      </c>
      <c r="L359" s="64">
        <v>120.3</v>
      </c>
      <c r="M359" s="64">
        <v>210.5</v>
      </c>
      <c r="N359" s="64">
        <v>176.9</v>
      </c>
      <c r="O359" s="64">
        <v>188.5</v>
      </c>
      <c r="P359" s="64">
        <v>175</v>
      </c>
      <c r="Q359" s="64">
        <v>196.9</v>
      </c>
      <c r="R359" s="64">
        <v>189</v>
      </c>
      <c r="S359" s="64">
        <v>186.3</v>
      </c>
      <c r="T359" s="64">
        <v>188.6</v>
      </c>
      <c r="U359" s="64">
        <v>173.5</v>
      </c>
      <c r="V359" s="64">
        <v>183.2</v>
      </c>
      <c r="W359" s="64">
        <v>177.2</v>
      </c>
      <c r="X359" s="64">
        <v>184.7</v>
      </c>
      <c r="Y359" s="64">
        <v>168.2</v>
      </c>
      <c r="Z359" s="64">
        <v>171.8</v>
      </c>
      <c r="AA359" s="64">
        <v>177.8</v>
      </c>
      <c r="AB359" s="64">
        <v>178.4</v>
      </c>
      <c r="AC359" s="64">
        <v>176.5</v>
      </c>
      <c r="AD359" s="64">
        <v>177.8</v>
      </c>
    </row>
    <row r="360" spans="1:30">
      <c r="A360" s="64" t="s">
        <v>33</v>
      </c>
      <c r="B360" s="64">
        <v>2023</v>
      </c>
      <c r="C360" s="64" t="s">
        <v>31</v>
      </c>
      <c r="D360" s="64">
        <v>173.3</v>
      </c>
      <c r="E360" s="64">
        <v>215.2</v>
      </c>
      <c r="F360" s="64">
        <v>197</v>
      </c>
      <c r="G360" s="64">
        <v>175.2</v>
      </c>
      <c r="H360" s="64">
        <v>178</v>
      </c>
      <c r="I360" s="64">
        <v>160.5</v>
      </c>
      <c r="J360" s="64">
        <v>175.3</v>
      </c>
      <c r="K360" s="64">
        <v>171.2</v>
      </c>
      <c r="L360" s="64">
        <v>122.7</v>
      </c>
      <c r="M360" s="64">
        <v>204.3</v>
      </c>
      <c r="N360" s="64">
        <v>163.69999999999999</v>
      </c>
      <c r="O360" s="64">
        <v>194.3</v>
      </c>
      <c r="P360" s="64">
        <v>179.5</v>
      </c>
      <c r="Q360" s="64">
        <v>201.6</v>
      </c>
      <c r="R360" s="64">
        <v>178.7</v>
      </c>
      <c r="S360" s="64">
        <v>165.3</v>
      </c>
      <c r="T360" s="64">
        <v>176.6</v>
      </c>
      <c r="U360" s="64">
        <v>172.1</v>
      </c>
      <c r="V360" s="64">
        <v>180.1</v>
      </c>
      <c r="W360" s="64">
        <v>168</v>
      </c>
      <c r="X360" s="64">
        <v>178.5</v>
      </c>
      <c r="Y360" s="64">
        <v>159.5</v>
      </c>
      <c r="Z360" s="64">
        <v>167.8</v>
      </c>
      <c r="AA360" s="64">
        <v>171.8</v>
      </c>
      <c r="AB360" s="64">
        <v>178.8</v>
      </c>
      <c r="AC360" s="64">
        <v>168.9</v>
      </c>
      <c r="AD360" s="64">
        <v>174.9</v>
      </c>
    </row>
    <row r="361" spans="1:30">
      <c r="A361" s="64" t="s">
        <v>34</v>
      </c>
      <c r="B361" s="64">
        <v>2023</v>
      </c>
      <c r="C361" s="64" t="s">
        <v>31</v>
      </c>
      <c r="D361" s="64">
        <v>173.8</v>
      </c>
      <c r="E361" s="64">
        <v>210.7</v>
      </c>
      <c r="F361" s="64">
        <v>194.5</v>
      </c>
      <c r="G361" s="64">
        <v>174.6</v>
      </c>
      <c r="H361" s="64">
        <v>187.2</v>
      </c>
      <c r="I361" s="64">
        <v>158.30000000000001</v>
      </c>
      <c r="J361" s="64">
        <v>153.9</v>
      </c>
      <c r="K361" s="64">
        <v>170.9</v>
      </c>
      <c r="L361" s="64">
        <v>121.1</v>
      </c>
      <c r="M361" s="64">
        <v>208.4</v>
      </c>
      <c r="N361" s="64">
        <v>171.4</v>
      </c>
      <c r="O361" s="64">
        <v>191.2</v>
      </c>
      <c r="P361" s="64">
        <v>176.7</v>
      </c>
      <c r="Q361" s="64">
        <v>198.2</v>
      </c>
      <c r="R361" s="64">
        <v>184.9</v>
      </c>
      <c r="S361" s="64">
        <v>177.6</v>
      </c>
      <c r="T361" s="64">
        <v>183.8</v>
      </c>
      <c r="U361" s="64">
        <v>172.1</v>
      </c>
      <c r="V361" s="64">
        <v>182</v>
      </c>
      <c r="W361" s="64">
        <v>172.9</v>
      </c>
      <c r="X361" s="64">
        <v>182.3</v>
      </c>
      <c r="Y361" s="64">
        <v>163.6</v>
      </c>
      <c r="Z361" s="64">
        <v>169.5</v>
      </c>
      <c r="AA361" s="64">
        <v>174.3</v>
      </c>
      <c r="AB361" s="64">
        <v>178.6</v>
      </c>
      <c r="AC361" s="64">
        <v>172.8</v>
      </c>
      <c r="AD361" s="64">
        <v>176.5</v>
      </c>
    </row>
    <row r="362" spans="1:30">
      <c r="A362" s="64" t="s">
        <v>30</v>
      </c>
      <c r="B362" s="64">
        <v>2023</v>
      </c>
      <c r="C362" s="64" t="s">
        <v>35</v>
      </c>
      <c r="D362" s="64">
        <v>174.2</v>
      </c>
      <c r="E362" s="64">
        <v>205.2</v>
      </c>
      <c r="F362" s="64">
        <v>173.9</v>
      </c>
      <c r="G362" s="64">
        <v>177</v>
      </c>
      <c r="H362" s="64">
        <v>183.4</v>
      </c>
      <c r="I362" s="64">
        <v>167.2</v>
      </c>
      <c r="J362" s="64">
        <v>140.9</v>
      </c>
      <c r="K362" s="64">
        <v>170.4</v>
      </c>
      <c r="L362" s="64">
        <v>119.1</v>
      </c>
      <c r="M362" s="64">
        <v>212.1</v>
      </c>
      <c r="N362" s="64">
        <v>177.6</v>
      </c>
      <c r="O362" s="64">
        <v>189.9</v>
      </c>
      <c r="P362" s="64">
        <v>174.8</v>
      </c>
      <c r="Q362" s="64">
        <v>198.3</v>
      </c>
      <c r="R362" s="64">
        <v>190</v>
      </c>
      <c r="S362" s="64">
        <v>187</v>
      </c>
      <c r="T362" s="64">
        <v>189.6</v>
      </c>
      <c r="U362" s="64">
        <v>173.5</v>
      </c>
      <c r="V362" s="64">
        <v>181.6</v>
      </c>
      <c r="W362" s="64">
        <v>178.6</v>
      </c>
      <c r="X362" s="64">
        <v>186.6</v>
      </c>
      <c r="Y362" s="64">
        <v>169</v>
      </c>
      <c r="Z362" s="64">
        <v>172.8</v>
      </c>
      <c r="AA362" s="64">
        <v>178.5</v>
      </c>
      <c r="AB362" s="64">
        <v>180.7</v>
      </c>
      <c r="AC362" s="64">
        <v>177.9</v>
      </c>
      <c r="AD362" s="64">
        <v>178</v>
      </c>
    </row>
    <row r="363" spans="1:30">
      <c r="A363" s="64" t="s">
        <v>33</v>
      </c>
      <c r="B363" s="64">
        <v>2023</v>
      </c>
      <c r="C363" s="64" t="s">
        <v>35</v>
      </c>
      <c r="D363" s="64">
        <v>174.7</v>
      </c>
      <c r="E363" s="64">
        <v>212.2</v>
      </c>
      <c r="F363" s="64">
        <v>177.2</v>
      </c>
      <c r="G363" s="64">
        <v>177.9</v>
      </c>
      <c r="H363" s="64">
        <v>172.2</v>
      </c>
      <c r="I363" s="64">
        <v>172.1</v>
      </c>
      <c r="J363" s="64">
        <v>175.8</v>
      </c>
      <c r="K363" s="64">
        <v>172.2</v>
      </c>
      <c r="L363" s="64">
        <v>121.9</v>
      </c>
      <c r="M363" s="64">
        <v>204.8</v>
      </c>
      <c r="N363" s="64">
        <v>164.9</v>
      </c>
      <c r="O363" s="64">
        <v>196.6</v>
      </c>
      <c r="P363" s="64">
        <v>180.7</v>
      </c>
      <c r="Q363" s="64">
        <v>202.7</v>
      </c>
      <c r="R363" s="64">
        <v>180.3</v>
      </c>
      <c r="S363" s="64">
        <v>167</v>
      </c>
      <c r="T363" s="64">
        <v>178.2</v>
      </c>
      <c r="U363" s="64">
        <v>173.5</v>
      </c>
      <c r="V363" s="64">
        <v>182.8</v>
      </c>
      <c r="W363" s="64">
        <v>169.2</v>
      </c>
      <c r="X363" s="64">
        <v>180.8</v>
      </c>
      <c r="Y363" s="64">
        <v>159.80000000000001</v>
      </c>
      <c r="Z363" s="64">
        <v>168.4</v>
      </c>
      <c r="AA363" s="64">
        <v>172.5</v>
      </c>
      <c r="AB363" s="64">
        <v>181.4</v>
      </c>
      <c r="AC363" s="64">
        <v>170</v>
      </c>
      <c r="AD363" s="64">
        <v>176.3</v>
      </c>
    </row>
    <row r="364" spans="1:30">
      <c r="A364" s="64" t="s">
        <v>34</v>
      </c>
      <c r="B364" s="64">
        <v>2023</v>
      </c>
      <c r="C364" s="64" t="s">
        <v>35</v>
      </c>
      <c r="D364" s="64">
        <v>174.4</v>
      </c>
      <c r="E364" s="64">
        <v>207.7</v>
      </c>
      <c r="F364" s="64">
        <v>175.2</v>
      </c>
      <c r="G364" s="64">
        <v>177.3</v>
      </c>
      <c r="H364" s="64">
        <v>179.3</v>
      </c>
      <c r="I364" s="64">
        <v>169.5</v>
      </c>
      <c r="J364" s="64">
        <v>152.69999999999999</v>
      </c>
      <c r="K364" s="64">
        <v>171</v>
      </c>
      <c r="L364" s="64">
        <v>120</v>
      </c>
      <c r="M364" s="64">
        <v>209.7</v>
      </c>
      <c r="N364" s="64">
        <v>172.3</v>
      </c>
      <c r="O364" s="64">
        <v>193</v>
      </c>
      <c r="P364" s="64">
        <v>177</v>
      </c>
      <c r="Q364" s="64">
        <v>199.5</v>
      </c>
      <c r="R364" s="64">
        <v>186.2</v>
      </c>
      <c r="S364" s="64">
        <v>178.7</v>
      </c>
      <c r="T364" s="64">
        <v>185.1</v>
      </c>
      <c r="U364" s="64">
        <v>175.2</v>
      </c>
      <c r="V364" s="64">
        <v>182.1</v>
      </c>
      <c r="W364" s="64">
        <v>174.2</v>
      </c>
      <c r="X364" s="64">
        <v>184.4</v>
      </c>
      <c r="Y364" s="64">
        <v>164.2</v>
      </c>
      <c r="Z364" s="64">
        <v>170.3</v>
      </c>
      <c r="AA364" s="64">
        <v>175</v>
      </c>
      <c r="AB364" s="64">
        <v>181</v>
      </c>
      <c r="AC364" s="64">
        <v>174.1</v>
      </c>
      <c r="AD364" s="64">
        <v>177.2</v>
      </c>
    </row>
    <row r="365" spans="1:30">
      <c r="A365" s="64" t="s">
        <v>30</v>
      </c>
      <c r="B365" s="64">
        <v>2023</v>
      </c>
      <c r="C365" s="64" t="s">
        <v>36</v>
      </c>
      <c r="D365" s="64">
        <v>174.3</v>
      </c>
      <c r="E365" s="64">
        <v>205.2</v>
      </c>
      <c r="F365" s="64">
        <v>173.9</v>
      </c>
      <c r="G365" s="64">
        <v>177</v>
      </c>
      <c r="H365" s="64">
        <v>183.3</v>
      </c>
      <c r="I365" s="64">
        <v>167.2</v>
      </c>
      <c r="J365" s="64">
        <v>140.9</v>
      </c>
      <c r="K365" s="64">
        <v>170.5</v>
      </c>
      <c r="L365" s="64">
        <v>119.1</v>
      </c>
      <c r="M365" s="64">
        <v>212.1</v>
      </c>
      <c r="N365" s="64">
        <v>177.6</v>
      </c>
      <c r="O365" s="64">
        <v>189.9</v>
      </c>
      <c r="P365" s="64">
        <v>174.8</v>
      </c>
      <c r="Q365" s="64">
        <v>198.4</v>
      </c>
      <c r="R365" s="64">
        <v>190</v>
      </c>
      <c r="S365" s="64">
        <v>187</v>
      </c>
      <c r="T365" s="64">
        <v>189.6</v>
      </c>
      <c r="U365" s="64">
        <v>173.5</v>
      </c>
      <c r="V365" s="64">
        <v>181.4</v>
      </c>
      <c r="W365" s="64">
        <v>178.6</v>
      </c>
      <c r="X365" s="64">
        <v>186.6</v>
      </c>
      <c r="Y365" s="64">
        <v>169</v>
      </c>
      <c r="Z365" s="64">
        <v>172.8</v>
      </c>
      <c r="AA365" s="64">
        <v>178.5</v>
      </c>
      <c r="AB365" s="64">
        <v>180.7</v>
      </c>
      <c r="AC365" s="64">
        <v>177.9</v>
      </c>
      <c r="AD365" s="64">
        <v>178</v>
      </c>
    </row>
    <row r="366" spans="1:30">
      <c r="A366" s="64" t="s">
        <v>33</v>
      </c>
      <c r="B366" s="64">
        <v>2023</v>
      </c>
      <c r="C366" s="64" t="s">
        <v>36</v>
      </c>
      <c r="D366" s="64">
        <v>174.7</v>
      </c>
      <c r="E366" s="64">
        <v>212.2</v>
      </c>
      <c r="F366" s="64">
        <v>177.2</v>
      </c>
      <c r="G366" s="64">
        <v>177.9</v>
      </c>
      <c r="H366" s="64">
        <v>172.2</v>
      </c>
      <c r="I366" s="64">
        <v>172.1</v>
      </c>
      <c r="J366" s="64">
        <v>175.9</v>
      </c>
      <c r="K366" s="64">
        <v>172.2</v>
      </c>
      <c r="L366" s="64">
        <v>121.9</v>
      </c>
      <c r="M366" s="64">
        <v>204.8</v>
      </c>
      <c r="N366" s="64">
        <v>164.9</v>
      </c>
      <c r="O366" s="64">
        <v>196.6</v>
      </c>
      <c r="P366" s="64">
        <v>180.8</v>
      </c>
      <c r="Q366" s="64">
        <v>202.7</v>
      </c>
      <c r="R366" s="64">
        <v>180.2</v>
      </c>
      <c r="S366" s="64">
        <v>167</v>
      </c>
      <c r="T366" s="64">
        <v>178.2</v>
      </c>
      <c r="U366" s="64">
        <v>173.5</v>
      </c>
      <c r="V366" s="64">
        <v>182.6</v>
      </c>
      <c r="W366" s="64">
        <v>169.2</v>
      </c>
      <c r="X366" s="64">
        <v>180.8</v>
      </c>
      <c r="Y366" s="64">
        <v>159.80000000000001</v>
      </c>
      <c r="Z366" s="64">
        <v>168.4</v>
      </c>
      <c r="AA366" s="64">
        <v>172.5</v>
      </c>
      <c r="AB366" s="64">
        <v>181.5</v>
      </c>
      <c r="AC366" s="64">
        <v>170</v>
      </c>
      <c r="AD366" s="64">
        <v>176.3</v>
      </c>
    </row>
    <row r="367" spans="1:30">
      <c r="A367" s="64" t="s">
        <v>34</v>
      </c>
      <c r="B367" s="64">
        <v>2023</v>
      </c>
      <c r="C367" s="64" t="s">
        <v>36</v>
      </c>
      <c r="D367" s="64">
        <v>174.4</v>
      </c>
      <c r="E367" s="64">
        <v>207.7</v>
      </c>
      <c r="F367" s="64">
        <v>175.2</v>
      </c>
      <c r="G367" s="64">
        <v>177.3</v>
      </c>
      <c r="H367" s="64">
        <v>179.2</v>
      </c>
      <c r="I367" s="64">
        <v>169.5</v>
      </c>
      <c r="J367" s="64">
        <v>152.80000000000001</v>
      </c>
      <c r="K367" s="64">
        <v>171.1</v>
      </c>
      <c r="L367" s="64">
        <v>120</v>
      </c>
      <c r="M367" s="64">
        <v>209.7</v>
      </c>
      <c r="N367" s="64">
        <v>172.3</v>
      </c>
      <c r="O367" s="64">
        <v>193</v>
      </c>
      <c r="P367" s="64">
        <v>177</v>
      </c>
      <c r="Q367" s="64">
        <v>199.5</v>
      </c>
      <c r="R367" s="64">
        <v>186.1</v>
      </c>
      <c r="S367" s="64">
        <v>178.7</v>
      </c>
      <c r="T367" s="64">
        <v>185.1</v>
      </c>
      <c r="U367" s="64">
        <v>173.5</v>
      </c>
      <c r="V367" s="64">
        <v>181.9</v>
      </c>
      <c r="W367" s="64">
        <v>174.2</v>
      </c>
      <c r="X367" s="64">
        <v>184.4</v>
      </c>
      <c r="Y367" s="64">
        <v>164.2</v>
      </c>
      <c r="Z367" s="64">
        <v>170.3</v>
      </c>
      <c r="AA367" s="64">
        <v>175</v>
      </c>
      <c r="AB367" s="64">
        <v>181</v>
      </c>
      <c r="AC367" s="64">
        <v>174.1</v>
      </c>
      <c r="AD367" s="64">
        <v>177.2</v>
      </c>
    </row>
    <row r="368" spans="1:30">
      <c r="A368" s="64" t="s">
        <v>30</v>
      </c>
      <c r="B368" s="64">
        <v>2023</v>
      </c>
      <c r="C368" s="64" t="s">
        <v>37</v>
      </c>
      <c r="D368" s="64">
        <v>173.3</v>
      </c>
      <c r="E368" s="64">
        <v>206.9</v>
      </c>
      <c r="F368" s="64">
        <v>167.9</v>
      </c>
      <c r="G368" s="64">
        <v>178.2</v>
      </c>
      <c r="H368" s="64">
        <v>178.5</v>
      </c>
      <c r="I368" s="64">
        <v>173.7</v>
      </c>
      <c r="J368" s="64">
        <v>142.80000000000001</v>
      </c>
      <c r="K368" s="64">
        <v>172.8</v>
      </c>
      <c r="L368" s="64">
        <v>120.4</v>
      </c>
      <c r="M368" s="64">
        <v>215.5</v>
      </c>
      <c r="N368" s="64">
        <v>178.2</v>
      </c>
      <c r="O368" s="64">
        <v>190.5</v>
      </c>
      <c r="P368" s="64">
        <v>175.5</v>
      </c>
      <c r="Q368" s="64">
        <v>199.5</v>
      </c>
      <c r="R368" s="64">
        <v>190.7</v>
      </c>
      <c r="S368" s="64">
        <v>187.3</v>
      </c>
      <c r="T368" s="64">
        <v>190.2</v>
      </c>
      <c r="U368" s="64">
        <v>175.2</v>
      </c>
      <c r="V368" s="64">
        <v>181.5</v>
      </c>
      <c r="W368" s="64">
        <v>179.1</v>
      </c>
      <c r="X368" s="64">
        <v>187.2</v>
      </c>
      <c r="Y368" s="64">
        <v>169.4</v>
      </c>
      <c r="Z368" s="64">
        <v>173.2</v>
      </c>
      <c r="AA368" s="64">
        <v>179.4</v>
      </c>
      <c r="AB368" s="64">
        <v>183.8</v>
      </c>
      <c r="AC368" s="64">
        <v>178.9</v>
      </c>
      <c r="AD368" s="64">
        <v>178.8</v>
      </c>
    </row>
    <row r="369" spans="1:30">
      <c r="A369" s="64" t="s">
        <v>33</v>
      </c>
      <c r="B369" s="64">
        <v>2023</v>
      </c>
      <c r="C369" s="64" t="s">
        <v>37</v>
      </c>
      <c r="D369" s="64">
        <v>174.8</v>
      </c>
      <c r="E369" s="64">
        <v>213.7</v>
      </c>
      <c r="F369" s="64">
        <v>172.4</v>
      </c>
      <c r="G369" s="64">
        <v>178.8</v>
      </c>
      <c r="H369" s="64">
        <v>168.7</v>
      </c>
      <c r="I369" s="64">
        <v>179.2</v>
      </c>
      <c r="J369" s="64">
        <v>179.9</v>
      </c>
      <c r="K369" s="64">
        <v>174.7</v>
      </c>
      <c r="L369" s="64">
        <v>123.1</v>
      </c>
      <c r="M369" s="64">
        <v>207.8</v>
      </c>
      <c r="N369" s="64">
        <v>165.5</v>
      </c>
      <c r="O369" s="64">
        <v>197</v>
      </c>
      <c r="P369" s="64">
        <v>182.1</v>
      </c>
      <c r="Q369" s="64">
        <v>203.5</v>
      </c>
      <c r="R369" s="64">
        <v>181</v>
      </c>
      <c r="S369" s="64">
        <v>167.7</v>
      </c>
      <c r="T369" s="64">
        <v>178.9</v>
      </c>
      <c r="U369" s="64">
        <v>175.2</v>
      </c>
      <c r="V369" s="64">
        <v>182.1</v>
      </c>
      <c r="W369" s="64">
        <v>169.6</v>
      </c>
      <c r="X369" s="64">
        <v>181.5</v>
      </c>
      <c r="Y369" s="64">
        <v>160.1</v>
      </c>
      <c r="Z369" s="64">
        <v>168.8</v>
      </c>
      <c r="AA369" s="64">
        <v>174.2</v>
      </c>
      <c r="AB369" s="64">
        <v>184.4</v>
      </c>
      <c r="AC369" s="64">
        <v>170.9</v>
      </c>
      <c r="AD369" s="64">
        <v>177.4</v>
      </c>
    </row>
    <row r="370" spans="1:30">
      <c r="A370" s="64" t="s">
        <v>34</v>
      </c>
      <c r="B370" s="64">
        <v>2023</v>
      </c>
      <c r="C370" s="64" t="s">
        <v>37</v>
      </c>
      <c r="D370" s="64">
        <v>173.8</v>
      </c>
      <c r="E370" s="64">
        <v>209.3</v>
      </c>
      <c r="F370" s="64">
        <v>169.6</v>
      </c>
      <c r="G370" s="64">
        <v>178.4</v>
      </c>
      <c r="H370" s="64">
        <v>174.9</v>
      </c>
      <c r="I370" s="64">
        <v>176.3</v>
      </c>
      <c r="J370" s="64">
        <v>155.4</v>
      </c>
      <c r="K370" s="64">
        <v>173.4</v>
      </c>
      <c r="L370" s="64">
        <v>121.3</v>
      </c>
      <c r="M370" s="64">
        <v>212.9</v>
      </c>
      <c r="N370" s="64">
        <v>172.9</v>
      </c>
      <c r="O370" s="64">
        <v>193.5</v>
      </c>
      <c r="P370" s="64">
        <v>177.9</v>
      </c>
      <c r="Q370" s="64">
        <v>200.6</v>
      </c>
      <c r="R370" s="64">
        <v>186.9</v>
      </c>
      <c r="S370" s="64">
        <v>179.2</v>
      </c>
      <c r="T370" s="64">
        <v>185.7</v>
      </c>
      <c r="U370" s="64">
        <v>175.2</v>
      </c>
      <c r="V370" s="64">
        <v>181.7</v>
      </c>
      <c r="W370" s="64">
        <v>174.6</v>
      </c>
      <c r="X370" s="64">
        <v>185</v>
      </c>
      <c r="Y370" s="64">
        <v>164.5</v>
      </c>
      <c r="Z370" s="64">
        <v>170.7</v>
      </c>
      <c r="AA370" s="64">
        <v>176.4</v>
      </c>
      <c r="AB370" s="64">
        <v>184</v>
      </c>
      <c r="AC370" s="64">
        <v>175</v>
      </c>
      <c r="AD370" s="64">
        <v>178.1</v>
      </c>
    </row>
    <row r="371" spans="1:30">
      <c r="A371" s="64" t="s">
        <v>30</v>
      </c>
      <c r="B371" s="64">
        <v>2023</v>
      </c>
      <c r="C371" s="64" t="s">
        <v>38</v>
      </c>
      <c r="D371" s="64">
        <v>173.2</v>
      </c>
      <c r="E371" s="64">
        <v>211.5</v>
      </c>
      <c r="F371" s="64">
        <v>171</v>
      </c>
      <c r="G371" s="64">
        <v>179.6</v>
      </c>
      <c r="H371" s="64">
        <v>173.3</v>
      </c>
      <c r="I371" s="64">
        <v>169</v>
      </c>
      <c r="J371" s="64">
        <v>148.69999999999999</v>
      </c>
      <c r="K371" s="64">
        <v>174.9</v>
      </c>
      <c r="L371" s="64">
        <v>121.9</v>
      </c>
      <c r="M371" s="64">
        <v>221</v>
      </c>
      <c r="N371" s="64">
        <v>178.7</v>
      </c>
      <c r="O371" s="64">
        <v>191.1</v>
      </c>
      <c r="P371" s="64">
        <v>176.8</v>
      </c>
      <c r="Q371" s="64">
        <v>199.9</v>
      </c>
      <c r="R371" s="64">
        <v>191.2</v>
      </c>
      <c r="S371" s="64">
        <v>187.9</v>
      </c>
      <c r="T371" s="64">
        <v>190.8</v>
      </c>
      <c r="U371" s="64">
        <v>175.5</v>
      </c>
      <c r="V371" s="64">
        <v>182.5</v>
      </c>
      <c r="W371" s="64">
        <v>179.8</v>
      </c>
      <c r="X371" s="64">
        <v>187.8</v>
      </c>
      <c r="Y371" s="64">
        <v>169.7</v>
      </c>
      <c r="Z371" s="64">
        <v>173.8</v>
      </c>
      <c r="AA371" s="64">
        <v>180.3</v>
      </c>
      <c r="AB371" s="64">
        <v>184.9</v>
      </c>
      <c r="AC371" s="64">
        <v>179.5</v>
      </c>
      <c r="AD371" s="64">
        <v>179.8</v>
      </c>
    </row>
    <row r="372" spans="1:30">
      <c r="A372" s="64" t="s">
        <v>33</v>
      </c>
      <c r="B372" s="64">
        <v>2023</v>
      </c>
      <c r="C372" s="64" t="s">
        <v>38</v>
      </c>
      <c r="D372" s="64">
        <v>174.7</v>
      </c>
      <c r="E372" s="64">
        <v>219.4</v>
      </c>
      <c r="F372" s="64">
        <v>176.7</v>
      </c>
      <c r="G372" s="64">
        <v>179.4</v>
      </c>
      <c r="H372" s="64">
        <v>164.4</v>
      </c>
      <c r="I372" s="64">
        <v>175.8</v>
      </c>
      <c r="J372" s="64">
        <v>185</v>
      </c>
      <c r="K372" s="64">
        <v>176.9</v>
      </c>
      <c r="L372" s="64">
        <v>124.2</v>
      </c>
      <c r="M372" s="64">
        <v>211.9</v>
      </c>
      <c r="N372" s="64">
        <v>165.9</v>
      </c>
      <c r="O372" s="64">
        <v>197.7</v>
      </c>
      <c r="P372" s="64">
        <v>183.1</v>
      </c>
      <c r="Q372" s="64">
        <v>204.2</v>
      </c>
      <c r="R372" s="64">
        <v>181.3</v>
      </c>
      <c r="S372" s="64">
        <v>168.1</v>
      </c>
      <c r="T372" s="64">
        <v>179.3</v>
      </c>
      <c r="U372" s="64">
        <v>175.6</v>
      </c>
      <c r="V372" s="64">
        <v>183.4</v>
      </c>
      <c r="W372" s="64">
        <v>170.1</v>
      </c>
      <c r="X372" s="64">
        <v>182.2</v>
      </c>
      <c r="Y372" s="64">
        <v>160.4</v>
      </c>
      <c r="Z372" s="64">
        <v>169.2</v>
      </c>
      <c r="AA372" s="64">
        <v>174.8</v>
      </c>
      <c r="AB372" s="64">
        <v>185.6</v>
      </c>
      <c r="AC372" s="64">
        <v>171.6</v>
      </c>
      <c r="AD372" s="64">
        <v>178.2</v>
      </c>
    </row>
    <row r="373" spans="1:30">
      <c r="A373" s="64" t="s">
        <v>34</v>
      </c>
      <c r="B373" s="64">
        <v>2023</v>
      </c>
      <c r="C373" s="64" t="s">
        <v>38</v>
      </c>
      <c r="D373" s="64">
        <v>173.7</v>
      </c>
      <c r="E373" s="64">
        <v>214.3</v>
      </c>
      <c r="F373" s="64">
        <v>173.2</v>
      </c>
      <c r="G373" s="64">
        <v>179.5</v>
      </c>
      <c r="H373" s="64">
        <v>170</v>
      </c>
      <c r="I373" s="64">
        <v>172.2</v>
      </c>
      <c r="J373" s="64">
        <v>161</v>
      </c>
      <c r="K373" s="64">
        <v>175.6</v>
      </c>
      <c r="L373" s="64">
        <v>122.7</v>
      </c>
      <c r="M373" s="64">
        <v>218</v>
      </c>
      <c r="N373" s="64">
        <v>173.4</v>
      </c>
      <c r="O373" s="64">
        <v>194.2</v>
      </c>
      <c r="P373" s="64">
        <v>179.1</v>
      </c>
      <c r="Q373" s="64">
        <v>201</v>
      </c>
      <c r="R373" s="64">
        <v>187.3</v>
      </c>
      <c r="S373" s="64">
        <v>179.7</v>
      </c>
      <c r="T373" s="64">
        <v>186.2</v>
      </c>
      <c r="U373" s="64">
        <v>175.6</v>
      </c>
      <c r="V373" s="64">
        <v>182.8</v>
      </c>
      <c r="W373" s="64">
        <v>175.2</v>
      </c>
      <c r="X373" s="64">
        <v>185.7</v>
      </c>
      <c r="Y373" s="64">
        <v>164.8</v>
      </c>
      <c r="Z373" s="64">
        <v>171.2</v>
      </c>
      <c r="AA373" s="64">
        <v>177.1</v>
      </c>
      <c r="AB373" s="64">
        <v>185.2</v>
      </c>
      <c r="AC373" s="64">
        <v>175.7</v>
      </c>
      <c r="AD373" s="64">
        <v>179.1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9EE6-9C2F-422C-ACB2-09184D28910A}">
  <dimension ref="A1:F37"/>
  <sheetViews>
    <sheetView showGridLines="0" workbookViewId="0">
      <selection activeCell="H19" sqref="H19"/>
    </sheetView>
  </sheetViews>
  <sheetFormatPr defaultRowHeight="15"/>
  <cols>
    <col min="3" max="3" width="14.5703125" customWidth="1"/>
  </cols>
  <sheetData>
    <row r="1" spans="1:6" ht="15.75">
      <c r="A1" t="s">
        <v>0</v>
      </c>
      <c r="C1" s="1"/>
      <c r="D1" s="21"/>
      <c r="E1" s="22" t="s">
        <v>0</v>
      </c>
      <c r="F1" s="2"/>
    </row>
    <row r="2" spans="1:6" ht="15.75">
      <c r="A2" s="3" t="s">
        <v>1</v>
      </c>
      <c r="B2" s="4"/>
      <c r="C2" s="5"/>
      <c r="D2" s="27"/>
      <c r="E2" s="6" t="s">
        <v>1</v>
      </c>
      <c r="F2" s="7"/>
    </row>
    <row r="3" spans="1:6" ht="15.75">
      <c r="A3" s="4" t="s">
        <v>2</v>
      </c>
      <c r="B3" s="4"/>
      <c r="C3" s="5"/>
      <c r="D3" s="27"/>
      <c r="E3" s="6" t="s">
        <v>2</v>
      </c>
      <c r="F3" s="7"/>
    </row>
    <row r="4" spans="1:6" ht="15.75">
      <c r="A4" t="s">
        <v>3</v>
      </c>
      <c r="C4" s="1"/>
      <c r="D4" s="21"/>
      <c r="E4" s="23"/>
      <c r="F4" s="2"/>
    </row>
    <row r="5" spans="1:6" ht="15.75">
      <c r="A5" t="s">
        <v>4</v>
      </c>
      <c r="C5" s="1"/>
      <c r="D5" s="21"/>
      <c r="E5" s="23"/>
      <c r="F5" s="2"/>
    </row>
    <row r="6" spans="1:6" ht="15.75">
      <c r="A6" t="s">
        <v>5</v>
      </c>
      <c r="C6" s="1"/>
      <c r="D6" s="21"/>
      <c r="E6" s="23"/>
      <c r="F6" s="2"/>
    </row>
    <row r="7" spans="1:6" ht="15.75">
      <c r="A7" t="s">
        <v>6</v>
      </c>
      <c r="C7" s="1"/>
      <c r="D7" s="21"/>
      <c r="E7" s="23"/>
      <c r="F7" s="2"/>
    </row>
    <row r="8" spans="1:6" ht="15.75">
      <c r="A8" t="s">
        <v>7</v>
      </c>
      <c r="C8" s="1"/>
      <c r="D8" s="21"/>
      <c r="E8" s="22" t="s">
        <v>50</v>
      </c>
      <c r="F8" s="2"/>
    </row>
    <row r="9" spans="1:6">
      <c r="A9" t="s">
        <v>8</v>
      </c>
      <c r="C9" s="1"/>
      <c r="D9" s="21"/>
      <c r="E9" s="21"/>
      <c r="F9" s="2"/>
    </row>
    <row r="10" spans="1:6">
      <c r="A10" t="s">
        <v>9</v>
      </c>
      <c r="C10" s="1"/>
      <c r="D10" s="21"/>
      <c r="E10" s="21"/>
      <c r="F10" s="2"/>
    </row>
    <row r="11" spans="1:6">
      <c r="A11" t="s">
        <v>10</v>
      </c>
      <c r="C11" s="1"/>
      <c r="D11" s="21"/>
      <c r="E11" s="21"/>
      <c r="F11" s="2"/>
    </row>
    <row r="12" spans="1:6">
      <c r="A12" t="s">
        <v>11</v>
      </c>
      <c r="C12" s="1"/>
      <c r="D12" s="21"/>
      <c r="E12" s="21"/>
      <c r="F12" s="2"/>
    </row>
    <row r="13" spans="1:6">
      <c r="A13" t="s">
        <v>12</v>
      </c>
      <c r="C13" s="1"/>
      <c r="D13" s="21"/>
      <c r="E13" s="21"/>
      <c r="F13" s="2"/>
    </row>
    <row r="14" spans="1:6">
      <c r="A14" t="s">
        <v>14</v>
      </c>
      <c r="C14" s="1"/>
      <c r="D14" s="21"/>
      <c r="E14" s="21"/>
      <c r="F14" s="2"/>
    </row>
    <row r="15" spans="1:6">
      <c r="A15" s="8" t="s">
        <v>15</v>
      </c>
      <c r="B15" s="8"/>
      <c r="C15" s="9"/>
      <c r="D15" s="10"/>
      <c r="E15" s="10"/>
      <c r="F15" s="12"/>
    </row>
    <row r="16" spans="1:6">
      <c r="A16" t="s">
        <v>13</v>
      </c>
      <c r="C16" s="1"/>
      <c r="D16" s="21"/>
      <c r="E16" s="21"/>
      <c r="F16" s="2"/>
    </row>
    <row r="17" spans="1:6">
      <c r="A17" t="s">
        <v>16</v>
      </c>
      <c r="C17" s="1"/>
      <c r="D17" s="21"/>
      <c r="E17" s="21"/>
      <c r="F17" s="2"/>
    </row>
    <row r="18" spans="1:6" ht="15.75">
      <c r="A18" t="s">
        <v>27</v>
      </c>
      <c r="C18" s="1"/>
      <c r="D18" s="21"/>
      <c r="E18" s="22" t="s">
        <v>51</v>
      </c>
      <c r="F18" s="2"/>
    </row>
    <row r="19" spans="1:6">
      <c r="A19" s="8" t="s">
        <v>25</v>
      </c>
      <c r="B19" s="8"/>
      <c r="C19" s="9"/>
      <c r="D19" s="10"/>
      <c r="E19" s="10"/>
      <c r="F19" s="12"/>
    </row>
    <row r="20" spans="1:6">
      <c r="C20" s="1"/>
      <c r="D20" s="21"/>
      <c r="E20" s="21"/>
      <c r="F20" s="2"/>
    </row>
    <row r="21" spans="1:6">
      <c r="A21" t="s">
        <v>17</v>
      </c>
      <c r="C21" s="1"/>
      <c r="D21" s="21"/>
      <c r="E21" s="21"/>
      <c r="F21" s="2"/>
    </row>
    <row r="22" spans="1:6" ht="15.75">
      <c r="A22" t="s">
        <v>18</v>
      </c>
      <c r="C22" s="1"/>
      <c r="D22" s="21"/>
      <c r="E22" s="22" t="s">
        <v>52</v>
      </c>
      <c r="F22" s="2"/>
    </row>
    <row r="23" spans="1:6">
      <c r="A23" s="8" t="s">
        <v>19</v>
      </c>
      <c r="B23" s="8"/>
      <c r="C23" s="9"/>
      <c r="D23" s="10"/>
      <c r="E23" s="10"/>
      <c r="F23" s="12"/>
    </row>
    <row r="24" spans="1:6" ht="15.75">
      <c r="A24" t="s">
        <v>20</v>
      </c>
      <c r="C24" s="1"/>
      <c r="D24" s="23"/>
      <c r="E24" s="23"/>
      <c r="F24" s="24"/>
    </row>
    <row r="25" spans="1:6" ht="15.75">
      <c r="A25" s="8" t="s">
        <v>22</v>
      </c>
      <c r="B25" s="8"/>
      <c r="C25" s="9"/>
      <c r="D25" s="13"/>
      <c r="E25" s="11" t="s">
        <v>53</v>
      </c>
      <c r="F25" s="14"/>
    </row>
    <row r="26" spans="1:6" ht="15.75">
      <c r="A26" s="3" t="s">
        <v>21</v>
      </c>
      <c r="B26" s="4"/>
      <c r="C26" s="5"/>
      <c r="D26" s="15"/>
      <c r="E26" s="6" t="s">
        <v>54</v>
      </c>
      <c r="F26" s="16"/>
    </row>
    <row r="27" spans="1:6" ht="15.75">
      <c r="A27" t="s">
        <v>24</v>
      </c>
      <c r="C27" s="1"/>
      <c r="D27" s="22" t="s">
        <v>55</v>
      </c>
      <c r="E27" s="22"/>
      <c r="F27" s="25"/>
    </row>
    <row r="28" spans="1:6" ht="15.75">
      <c r="A28" s="8"/>
      <c r="B28" s="8"/>
      <c r="C28" s="9"/>
      <c r="D28" s="11" t="s">
        <v>56</v>
      </c>
      <c r="E28" s="11"/>
      <c r="F28" s="17"/>
    </row>
    <row r="29" spans="1:6" ht="15.75">
      <c r="A29" s="4" t="s">
        <v>26</v>
      </c>
      <c r="B29" s="4"/>
      <c r="C29" s="5"/>
      <c r="D29" s="18"/>
      <c r="E29" s="6" t="s">
        <v>57</v>
      </c>
      <c r="F29" s="19"/>
    </row>
    <row r="30" spans="1:6" ht="15.75">
      <c r="A30" s="4" t="s">
        <v>28</v>
      </c>
      <c r="B30" s="4"/>
      <c r="C30" s="5"/>
      <c r="D30" s="18"/>
      <c r="E30" s="6" t="s">
        <v>58</v>
      </c>
      <c r="F30" s="20"/>
    </row>
    <row r="31" spans="1:6" ht="15.75">
      <c r="A31" s="3" t="s">
        <v>29</v>
      </c>
      <c r="B31" s="4"/>
      <c r="C31" s="5"/>
      <c r="D31" s="27"/>
      <c r="E31" s="6" t="s">
        <v>59</v>
      </c>
      <c r="F31" s="19"/>
    </row>
    <row r="32" spans="1:6">
      <c r="A32" t="s">
        <v>20</v>
      </c>
      <c r="C32" s="1"/>
      <c r="D32" s="21"/>
      <c r="E32" s="21"/>
      <c r="F32" s="2"/>
    </row>
    <row r="33" spans="1:6">
      <c r="A33" t="s">
        <v>21</v>
      </c>
      <c r="C33" s="1"/>
      <c r="D33" s="21"/>
      <c r="E33" s="21"/>
      <c r="F33" s="2"/>
    </row>
    <row r="34" spans="1:6" ht="18.75">
      <c r="A34" t="s">
        <v>49</v>
      </c>
      <c r="C34" s="1"/>
      <c r="D34" s="21"/>
      <c r="E34" s="26" t="s">
        <v>60</v>
      </c>
      <c r="F34" s="2"/>
    </row>
    <row r="35" spans="1:6">
      <c r="A35" t="s">
        <v>26</v>
      </c>
      <c r="C35" s="1"/>
      <c r="F35" s="1"/>
    </row>
    <row r="36" spans="1:6">
      <c r="A36" s="8" t="s">
        <v>28</v>
      </c>
      <c r="B36" s="8"/>
      <c r="C36" s="9"/>
      <c r="D36" s="8"/>
      <c r="E36" s="8"/>
      <c r="F36" s="9"/>
    </row>
    <row r="37" spans="1:6">
      <c r="C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3C26-016B-4016-ABCF-F9DD05C2A724}">
  <dimension ref="A1:M373"/>
  <sheetViews>
    <sheetView workbookViewId="0">
      <selection activeCell="D2" sqref="D2"/>
    </sheetView>
  </sheetViews>
  <sheetFormatPr defaultRowHeight="15"/>
  <cols>
    <col min="1" max="1" width="11.85546875" bestFit="1" customWidth="1"/>
    <col min="2" max="2" width="5" bestFit="1" customWidth="1"/>
    <col min="3" max="3" width="10.85546875" bestFit="1" customWidth="1"/>
    <col min="8" max="8" width="13.140625" customWidth="1"/>
    <col min="9" max="9" width="15.5703125" customWidth="1"/>
    <col min="10" max="10" width="10.42578125" customWidth="1"/>
    <col min="12" max="12" width="12.7109375" customWidth="1"/>
  </cols>
  <sheetData>
    <row r="1" spans="1:13" ht="15.75">
      <c r="A1" s="74" t="s">
        <v>0</v>
      </c>
      <c r="B1" s="74" t="s">
        <v>1</v>
      </c>
      <c r="C1" s="74" t="s">
        <v>2</v>
      </c>
      <c r="D1" s="74" t="s">
        <v>61</v>
      </c>
      <c r="E1" s="75" t="s">
        <v>62</v>
      </c>
      <c r="F1" s="74" t="s">
        <v>17</v>
      </c>
      <c r="G1" s="74" t="s">
        <v>20</v>
      </c>
      <c r="H1" s="74" t="s">
        <v>63</v>
      </c>
      <c r="I1" s="74" t="s">
        <v>64</v>
      </c>
      <c r="J1" s="74" t="s">
        <v>26</v>
      </c>
      <c r="K1" s="74" t="s">
        <v>65</v>
      </c>
      <c r="L1" s="74" t="s">
        <v>66</v>
      </c>
      <c r="M1" s="74" t="s">
        <v>60</v>
      </c>
    </row>
    <row r="2" spans="1:13">
      <c r="A2" s="64" t="s">
        <v>30</v>
      </c>
      <c r="B2" s="64">
        <v>2013</v>
      </c>
      <c r="C2" s="64" t="s">
        <v>31</v>
      </c>
      <c r="D2" s="64">
        <f>SUM('Data cleaning'!D2+'Data cleaning'!E2+'Data cleaning'!F2+'Data cleaning'!G2+'Data cleaning'!H2+'Data cleaning'!I2+'Data cleaning'!J2+'Data cleaning'!K2+'Data cleaning'!L2+'Data cleaning'!O2+'Data cleaning'!P2+'Data cleaning'!M2)</f>
        <v>1266.8999999999999</v>
      </c>
      <c r="E2" s="64">
        <f>SUM('Data cleaning'!N2+'Data cleaning'!Q2+'Data cleaning'!AB2+'Data cleaning'!Z2)</f>
        <v>418</v>
      </c>
      <c r="F2" s="64">
        <f>SUM('Data cleaning'!R2+'Data cleaning'!S2+'Data cleaning'!T2)</f>
        <v>318.70000000000005</v>
      </c>
      <c r="G2" s="76">
        <f>SUM('Data cleaning'!U2+'Data cleaning'!W2)</f>
        <v>205.1</v>
      </c>
      <c r="H2" s="64">
        <v>105.5</v>
      </c>
      <c r="I2" s="64">
        <v>103.3</v>
      </c>
      <c r="J2" s="64">
        <v>103.8</v>
      </c>
      <c r="K2" s="64">
        <v>104</v>
      </c>
      <c r="L2" s="64">
        <v>105.1</v>
      </c>
      <c r="M2" s="64">
        <f>SUM('Data cleaning'!U2+'Data cleaning'!V2+'Data cleaning'!Y2+'Data cleaning'!AC2)</f>
        <v>413.1</v>
      </c>
    </row>
    <row r="3" spans="1:13">
      <c r="A3" s="64" t="s">
        <v>33</v>
      </c>
      <c r="B3" s="64">
        <v>2013</v>
      </c>
      <c r="C3" s="64" t="s">
        <v>31</v>
      </c>
      <c r="D3" s="64">
        <f>SUM('Data cleaning'!D3+'Data cleaning'!E3+'Data cleaning'!F3+'Data cleaning'!G3+'Data cleaning'!H3+'Data cleaning'!I3+'Data cleaning'!J3+'Data cleaning'!K3+'Data cleaning'!L3+'Data cleaning'!O3+'Data cleaning'!P3+'Data cleaning'!M3)</f>
        <v>1271.3</v>
      </c>
      <c r="E3" s="64">
        <f>SUM('Data cleaning'!N3+'Data cleaning'!Q3+'Data cleaning'!AB3+'Data cleaning'!Z3)</f>
        <v>417.5</v>
      </c>
      <c r="F3" s="64">
        <f>SUM('Data cleaning'!R3+'Data cleaning'!S3+'Data cleaning'!T3)</f>
        <v>316.7</v>
      </c>
      <c r="G3" s="76">
        <f>SUM('Data cleaning'!U3+'Data cleaning'!W3)</f>
        <v>205.2</v>
      </c>
      <c r="H3" s="64">
        <v>105.4</v>
      </c>
      <c r="I3" s="64">
        <v>103.2</v>
      </c>
      <c r="J3" s="64">
        <v>103.5</v>
      </c>
      <c r="K3" s="64">
        <v>103.7</v>
      </c>
      <c r="L3" s="64">
        <v>104</v>
      </c>
      <c r="M3" s="64">
        <f>SUM('Data cleaning'!U3+'Data cleaning'!V3+'Data cleaning'!Y3+'Data cleaning'!AC3)</f>
        <v>412.7</v>
      </c>
    </row>
    <row r="4" spans="1:13">
      <c r="A4" s="64" t="s">
        <v>34</v>
      </c>
      <c r="B4" s="64">
        <v>2013</v>
      </c>
      <c r="C4" s="64" t="s">
        <v>31</v>
      </c>
      <c r="D4" s="64">
        <f>SUM('Data cleaning'!D4+'Data cleaning'!E4+'Data cleaning'!F4+'Data cleaning'!G4+'Data cleaning'!H4+'Data cleaning'!I4+'Data cleaning'!J4+'Data cleaning'!K4+'Data cleaning'!L4+'Data cleaning'!O4+'Data cleaning'!P4+'Data cleaning'!M4)</f>
        <v>1268.4000000000001</v>
      </c>
      <c r="E4" s="64">
        <f>SUM('Data cleaning'!N4+'Data cleaning'!Q4+'Data cleaning'!AB4+'Data cleaning'!Z4)</f>
        <v>417.6</v>
      </c>
      <c r="F4" s="64">
        <f>SUM('Data cleaning'!R4+'Data cleaning'!S4+'Data cleaning'!T4)</f>
        <v>318</v>
      </c>
      <c r="G4" s="76">
        <f>SUM('Data cleaning'!U4+'Data cleaning'!W4)</f>
        <v>205.2</v>
      </c>
      <c r="H4" s="64">
        <v>105.5</v>
      </c>
      <c r="I4" s="64">
        <v>103.2</v>
      </c>
      <c r="J4" s="64">
        <v>103.6</v>
      </c>
      <c r="K4" s="64">
        <v>103.9</v>
      </c>
      <c r="L4" s="64">
        <v>104.6</v>
      </c>
      <c r="M4" s="64">
        <f>SUM('Data cleaning'!U4+'Data cleaning'!V4+'Data cleaning'!Y4+'Data cleaning'!AC4)</f>
        <v>413</v>
      </c>
    </row>
    <row r="5" spans="1:13">
      <c r="A5" s="64" t="s">
        <v>30</v>
      </c>
      <c r="B5" s="64">
        <v>2013</v>
      </c>
      <c r="C5" s="64" t="s">
        <v>35</v>
      </c>
      <c r="D5" s="64">
        <f>SUM('Data cleaning'!D5+'Data cleaning'!E5+'Data cleaning'!F5+'Data cleaning'!G5+'Data cleaning'!H5+'Data cleaning'!I5+'Data cleaning'!J5+'Data cleaning'!K5+'Data cleaning'!L5+'Data cleaning'!O5+'Data cleaning'!P5+'Data cleaning'!M5)</f>
        <v>1275.3</v>
      </c>
      <c r="E5" s="64">
        <f>SUM('Data cleaning'!N5+'Data cleaning'!Q5+'Data cleaning'!AB5+'Data cleaning'!Z5)</f>
        <v>419.29999999999995</v>
      </c>
      <c r="F5" s="64">
        <f>SUM('Data cleaning'!R5+'Data cleaning'!S5+'Data cleaning'!T5)</f>
        <v>320.39999999999998</v>
      </c>
      <c r="G5" s="76">
        <f>SUM('Data cleaning'!U5+'Data cleaning'!W5)</f>
        <v>205.60000000000002</v>
      </c>
      <c r="H5" s="64">
        <v>106.2</v>
      </c>
      <c r="I5" s="64">
        <v>103.9</v>
      </c>
      <c r="J5" s="64">
        <v>104.1</v>
      </c>
      <c r="K5" s="64">
        <v>104.4</v>
      </c>
      <c r="L5" s="64">
        <v>105.8</v>
      </c>
      <c r="M5" s="64">
        <f>SUM('Data cleaning'!U5+'Data cleaning'!V5+'Data cleaning'!Y5+'Data cleaning'!AC5)</f>
        <v>414.9</v>
      </c>
    </row>
    <row r="6" spans="1:13">
      <c r="A6" s="64" t="s">
        <v>33</v>
      </c>
      <c r="B6" s="64">
        <v>2013</v>
      </c>
      <c r="C6" s="64" t="s">
        <v>35</v>
      </c>
      <c r="D6" s="64">
        <f>SUM('Data cleaning'!D6+'Data cleaning'!E6+'Data cleaning'!F6+'Data cleaning'!G6+'Data cleaning'!H6+'Data cleaning'!I6+'Data cleaning'!J6+'Data cleaning'!K6+'Data cleaning'!L6+'Data cleaning'!O6+'Data cleaning'!P6+'Data cleaning'!M6)</f>
        <v>1284.5999999999999</v>
      </c>
      <c r="E6" s="64">
        <f>SUM('Data cleaning'!N6+'Data cleaning'!Q6+'Data cleaning'!AB6+'Data cleaning'!Z6)</f>
        <v>419.6</v>
      </c>
      <c r="F6" s="64">
        <f>SUM('Data cleaning'!R6+'Data cleaning'!S6+'Data cleaning'!T6)</f>
        <v>318.5</v>
      </c>
      <c r="G6" s="76">
        <f>SUM('Data cleaning'!U6+'Data cleaning'!W6)</f>
        <v>205.7</v>
      </c>
      <c r="H6" s="64">
        <v>105.7</v>
      </c>
      <c r="I6" s="64">
        <v>104.4</v>
      </c>
      <c r="J6" s="64">
        <v>103.7</v>
      </c>
      <c r="K6" s="64">
        <v>104.3</v>
      </c>
      <c r="L6" s="64">
        <v>104.7</v>
      </c>
      <c r="M6" s="64">
        <f>SUM('Data cleaning'!U6+'Data cleaning'!V6+'Data cleaning'!Y6+'Data cleaning'!AC6)</f>
        <v>414.90000000000003</v>
      </c>
    </row>
    <row r="7" spans="1:13">
      <c r="A7" s="64" t="s">
        <v>34</v>
      </c>
      <c r="B7" s="64">
        <v>2013</v>
      </c>
      <c r="C7" s="64" t="s">
        <v>35</v>
      </c>
      <c r="D7" s="64">
        <f>SUM('Data cleaning'!D7+'Data cleaning'!E7+'Data cleaning'!F7+'Data cleaning'!G7+'Data cleaning'!H7+'Data cleaning'!I7+'Data cleaning'!J7+'Data cleaning'!K7+'Data cleaning'!L7+'Data cleaning'!O7+'Data cleaning'!P7+'Data cleaning'!M7)</f>
        <v>1278.7</v>
      </c>
      <c r="E7" s="64">
        <f>SUM('Data cleaning'!N7+'Data cleaning'!Q7+'Data cleaning'!AB7+'Data cleaning'!Z7)</f>
        <v>419.29999999999995</v>
      </c>
      <c r="F7" s="64">
        <f>SUM('Data cleaning'!R7+'Data cleaning'!S7+'Data cleaning'!T7)</f>
        <v>319.7</v>
      </c>
      <c r="G7" s="76">
        <f>SUM('Data cleaning'!U7+'Data cleaning'!W7)</f>
        <v>211.8</v>
      </c>
      <c r="H7" s="64">
        <v>106</v>
      </c>
      <c r="I7" s="64">
        <v>104.2</v>
      </c>
      <c r="J7" s="64">
        <v>103.9</v>
      </c>
      <c r="K7" s="64">
        <v>104.4</v>
      </c>
      <c r="L7" s="64">
        <v>105.3</v>
      </c>
      <c r="M7" s="64">
        <f>SUM('Data cleaning'!U7+'Data cleaning'!V7+'Data cleaning'!Y7+'Data cleaning'!AC7)</f>
        <v>421.20000000000005</v>
      </c>
    </row>
    <row r="8" spans="1:13">
      <c r="A8" s="64" t="s">
        <v>30</v>
      </c>
      <c r="B8" s="64">
        <v>2013</v>
      </c>
      <c r="C8" s="64" t="s">
        <v>36</v>
      </c>
      <c r="D8" s="64">
        <f>SUM('Data cleaning'!D8+'Data cleaning'!E8+'Data cleaning'!F8+'Data cleaning'!G8+'Data cleaning'!H8+'Data cleaning'!I8+'Data cleaning'!J8+'Data cleaning'!K8+'Data cleaning'!L8+'Data cleaning'!O8+'Data cleaning'!P8+'Data cleaning'!M8)</f>
        <v>1276.5999999999999</v>
      </c>
      <c r="E8" s="64">
        <f>SUM('Data cleaning'!N8+'Data cleaning'!Q8+'Data cleaning'!AB8+'Data cleaning'!Z8)</f>
        <v>420.4</v>
      </c>
      <c r="F8" s="64">
        <f>SUM('Data cleaning'!R8+'Data cleaning'!S8+'Data cleaning'!T8)</f>
        <v>321.89999999999998</v>
      </c>
      <c r="G8" s="76">
        <f>SUM('Data cleaning'!U8+'Data cleaning'!W8)</f>
        <v>206</v>
      </c>
      <c r="H8" s="64">
        <v>106.1</v>
      </c>
      <c r="I8" s="64">
        <v>104.6</v>
      </c>
      <c r="J8" s="64">
        <v>104.3</v>
      </c>
      <c r="K8" s="64">
        <v>104.6</v>
      </c>
      <c r="L8" s="64">
        <v>106</v>
      </c>
      <c r="M8" s="64">
        <f>SUM('Data cleaning'!U8+'Data cleaning'!V8+'Data cleaning'!Y8+'Data cleaning'!AC8)</f>
        <v>415.70000000000005</v>
      </c>
    </row>
    <row r="9" spans="1:13">
      <c r="A9" s="64" t="s">
        <v>33</v>
      </c>
      <c r="B9" s="64">
        <v>2013</v>
      </c>
      <c r="C9" s="64" t="s">
        <v>36</v>
      </c>
      <c r="D9" s="64">
        <f>SUM('Data cleaning'!D9+'Data cleaning'!E9+'Data cleaning'!F9+'Data cleaning'!G9+'Data cleaning'!H9+'Data cleaning'!I9+'Data cleaning'!J9+'Data cleaning'!K9+'Data cleaning'!L9+'Data cleaning'!O9+'Data cleaning'!P9+'Data cleaning'!M9)</f>
        <v>1279.8</v>
      </c>
      <c r="E9" s="64">
        <f>SUM('Data cleaning'!N9+'Data cleaning'!Q9+'Data cleaning'!AB9+'Data cleaning'!Z9)</f>
        <v>421.5</v>
      </c>
      <c r="F9" s="64">
        <f>SUM('Data cleaning'!R9+'Data cleaning'!S9+'Data cleaning'!T9)</f>
        <v>320.2</v>
      </c>
      <c r="G9" s="76">
        <f>SUM('Data cleaning'!U9+'Data cleaning'!W9)</f>
        <v>214.60000000000002</v>
      </c>
      <c r="H9" s="64">
        <v>106</v>
      </c>
      <c r="I9" s="64">
        <v>105.5</v>
      </c>
      <c r="J9" s="64">
        <v>103.8</v>
      </c>
      <c r="K9" s="64">
        <v>104.9</v>
      </c>
      <c r="L9" s="64">
        <v>105</v>
      </c>
      <c r="M9" s="64">
        <f>SUM('Data cleaning'!U9+'Data cleaning'!V9+'Data cleaning'!Y9+'Data cleaning'!AC9)</f>
        <v>425.29999999999995</v>
      </c>
    </row>
    <row r="10" spans="1:13">
      <c r="A10" s="64" t="s">
        <v>34</v>
      </c>
      <c r="B10" s="64">
        <v>2013</v>
      </c>
      <c r="C10" s="64" t="s">
        <v>36</v>
      </c>
      <c r="D10" s="64">
        <f>SUM('Data cleaning'!D10+'Data cleaning'!E10+'Data cleaning'!F10+'Data cleaning'!G10+'Data cleaning'!H10+'Data cleaning'!I10+'Data cleaning'!J10+'Data cleaning'!K10+'Data cleaning'!L10+'Data cleaning'!O10+'Data cleaning'!P10+'Data cleaning'!M10)</f>
        <v>1277.8000000000002</v>
      </c>
      <c r="E10" s="64">
        <f>SUM('Data cleaning'!N10+'Data cleaning'!Q10+'Data cleaning'!AB10+'Data cleaning'!Z10)</f>
        <v>420.8</v>
      </c>
      <c r="F10" s="64">
        <f>SUM('Data cleaning'!R10+'Data cleaning'!S10+'Data cleaning'!T10)</f>
        <v>321.2</v>
      </c>
      <c r="G10" s="76">
        <f>SUM('Data cleaning'!U10+'Data cleaning'!W10)</f>
        <v>215.3</v>
      </c>
      <c r="H10" s="64">
        <v>106.1</v>
      </c>
      <c r="I10" s="64">
        <v>105.1</v>
      </c>
      <c r="J10" s="64">
        <v>104</v>
      </c>
      <c r="K10" s="64">
        <v>104.7</v>
      </c>
      <c r="L10" s="64">
        <v>105.5</v>
      </c>
      <c r="M10" s="64">
        <f>SUM('Data cleaning'!U10+'Data cleaning'!V10+'Data cleaning'!Y10+'Data cleaning'!AC10)</f>
        <v>425.59999999999997</v>
      </c>
    </row>
    <row r="11" spans="1:13">
      <c r="A11" s="64" t="s">
        <v>30</v>
      </c>
      <c r="B11" s="64">
        <v>2013</v>
      </c>
      <c r="C11" s="64" t="s">
        <v>37</v>
      </c>
      <c r="D11" s="64">
        <f>SUM('Data cleaning'!D11+'Data cleaning'!E11+'Data cleaning'!F11+'Data cleaning'!G11+'Data cleaning'!H11+'Data cleaning'!I11+'Data cleaning'!J11+'Data cleaning'!K11+'Data cleaning'!L11+'Data cleaning'!O11+'Data cleaning'!P11+'Data cleaning'!M11)</f>
        <v>1279.3</v>
      </c>
      <c r="E11" s="64">
        <f>SUM('Data cleaning'!N11+'Data cleaning'!Q11+'Data cleaning'!AB11+'Data cleaning'!Z11)</f>
        <v>420.8</v>
      </c>
      <c r="F11" s="64">
        <f>SUM('Data cleaning'!R11+'Data cleaning'!S11+'Data cleaning'!T11)</f>
        <v>323.5</v>
      </c>
      <c r="G11" s="76">
        <f>SUM('Data cleaning'!U11+'Data cleaning'!W11)</f>
        <v>206.6</v>
      </c>
      <c r="H11" s="64">
        <v>106.5</v>
      </c>
      <c r="I11" s="64">
        <v>104.4</v>
      </c>
      <c r="J11" s="64">
        <v>104.8</v>
      </c>
      <c r="K11" s="64">
        <v>104.6</v>
      </c>
      <c r="L11" s="64">
        <v>106.4</v>
      </c>
      <c r="M11" s="64">
        <f>SUM('Data cleaning'!U11+'Data cleaning'!V11+'Data cleaning'!Y11+'Data cleaning'!AC11)</f>
        <v>416</v>
      </c>
    </row>
    <row r="12" spans="1:13">
      <c r="A12" s="64" t="s">
        <v>33</v>
      </c>
      <c r="B12" s="64">
        <v>2013</v>
      </c>
      <c r="C12" s="64" t="s">
        <v>37</v>
      </c>
      <c r="D12" s="64">
        <f>SUM('Data cleaning'!D12+'Data cleaning'!E12+'Data cleaning'!F12+'Data cleaning'!G12+'Data cleaning'!H12+'Data cleaning'!I12+'Data cleaning'!J12+'Data cleaning'!K12+'Data cleaning'!L12+'Data cleaning'!O12+'Data cleaning'!P12+'Data cleaning'!M12)</f>
        <v>1289.5</v>
      </c>
      <c r="E12" s="64">
        <f>SUM('Data cleaning'!N12+'Data cleaning'!Q12+'Data cleaning'!AB12+'Data cleaning'!Z12)</f>
        <v>423.9</v>
      </c>
      <c r="F12" s="64">
        <f>SUM('Data cleaning'!R12+'Data cleaning'!S12+'Data cleaning'!T12)</f>
        <v>322</v>
      </c>
      <c r="G12" s="76">
        <f>SUM('Data cleaning'!U12+'Data cleaning'!W12)</f>
        <v>207</v>
      </c>
      <c r="H12" s="64">
        <v>106.4</v>
      </c>
      <c r="I12" s="64">
        <v>105</v>
      </c>
      <c r="J12" s="64">
        <v>105.2</v>
      </c>
      <c r="K12" s="64">
        <v>105.1</v>
      </c>
      <c r="L12" s="64">
        <v>105.7</v>
      </c>
      <c r="M12" s="64">
        <f>SUM('Data cleaning'!U12+'Data cleaning'!V12+'Data cleaning'!Y12+'Data cleaning'!AC12)</f>
        <v>417</v>
      </c>
    </row>
    <row r="13" spans="1:13">
      <c r="A13" s="64" t="s">
        <v>34</v>
      </c>
      <c r="B13" s="64">
        <v>2013</v>
      </c>
      <c r="C13" s="64" t="s">
        <v>37</v>
      </c>
      <c r="D13" s="64">
        <f>SUM('Data cleaning'!D13+'Data cleaning'!E13+'Data cleaning'!F13+'Data cleaning'!G13+'Data cleaning'!H13+'Data cleaning'!I13+'Data cleaning'!J13+'Data cleaning'!K13+'Data cleaning'!L13+'Data cleaning'!O13+'Data cleaning'!P13+'Data cleaning'!M13)</f>
        <v>1283</v>
      </c>
      <c r="E13" s="64">
        <f>SUM('Data cleaning'!N13+'Data cleaning'!Q13+'Data cleaning'!AB13+'Data cleaning'!Z13)</f>
        <v>421.8</v>
      </c>
      <c r="F13" s="64">
        <f>SUM('Data cleaning'!R13+'Data cleaning'!S13+'Data cleaning'!T13)</f>
        <v>322.89999999999998</v>
      </c>
      <c r="G13" s="76">
        <f>SUM('Data cleaning'!U13+'Data cleaning'!W13)</f>
        <v>206.8</v>
      </c>
      <c r="H13" s="64">
        <v>106.5</v>
      </c>
      <c r="I13" s="64">
        <v>104.7</v>
      </c>
      <c r="J13" s="64">
        <v>105</v>
      </c>
      <c r="K13" s="64">
        <v>104.8</v>
      </c>
      <c r="L13" s="64">
        <v>106.1</v>
      </c>
      <c r="M13" s="64">
        <f>SUM('Data cleaning'!U13+'Data cleaning'!V13+'Data cleaning'!Y13+'Data cleaning'!AC13)</f>
        <v>416.5</v>
      </c>
    </row>
    <row r="14" spans="1:13">
      <c r="A14" s="64" t="s">
        <v>30</v>
      </c>
      <c r="B14" s="64">
        <v>2013</v>
      </c>
      <c r="C14" s="64" t="s">
        <v>38</v>
      </c>
      <c r="D14" s="64">
        <f>SUM('Data cleaning'!D14+'Data cleaning'!E14+'Data cleaning'!F14+'Data cleaning'!G14+'Data cleaning'!H14+'Data cleaning'!I14+'Data cleaning'!J14+'Data cleaning'!K14+'Data cleaning'!L14+'Data cleaning'!O14+'Data cleaning'!P14+'Data cleaning'!M14)</f>
        <v>1286.5999999999999</v>
      </c>
      <c r="E14" s="64">
        <f>SUM('Data cleaning'!N14+'Data cleaning'!Q14+'Data cleaning'!AB14+'Data cleaning'!Z14)</f>
        <v>422.6</v>
      </c>
      <c r="F14" s="64">
        <f>SUM('Data cleaning'!R14+'Data cleaning'!S14+'Data cleaning'!T14)</f>
        <v>325.29999999999995</v>
      </c>
      <c r="G14" s="76">
        <f>SUM('Data cleaning'!U14+'Data cleaning'!W14)</f>
        <v>207.3</v>
      </c>
      <c r="H14" s="64">
        <v>107.5</v>
      </c>
      <c r="I14" s="64">
        <v>104.1</v>
      </c>
      <c r="J14" s="64">
        <v>105.5</v>
      </c>
      <c r="K14" s="64">
        <v>104.8</v>
      </c>
      <c r="L14" s="64">
        <v>107.2</v>
      </c>
      <c r="M14" s="64">
        <f>SUM('Data cleaning'!U14+'Data cleaning'!V14+'Data cleaning'!Y14+'Data cleaning'!AC14)</f>
        <v>416.90000000000003</v>
      </c>
    </row>
    <row r="15" spans="1:13">
      <c r="A15" s="64" t="s">
        <v>33</v>
      </c>
      <c r="B15" s="64">
        <v>2013</v>
      </c>
      <c r="C15" s="64" t="s">
        <v>38</v>
      </c>
      <c r="D15" s="64">
        <f>SUM('Data cleaning'!D15+'Data cleaning'!E15+'Data cleaning'!F15+'Data cleaning'!G15+'Data cleaning'!H15+'Data cleaning'!I15+'Data cleaning'!J15+'Data cleaning'!K15+'Data cleaning'!L15+'Data cleaning'!O15+'Data cleaning'!P15+'Data cleaning'!M15)</f>
        <v>1308.0999999999999</v>
      </c>
      <c r="E15" s="64">
        <f>SUM('Data cleaning'!N15+'Data cleaning'!Q15+'Data cleaning'!AB15+'Data cleaning'!Z15)</f>
        <v>426.1</v>
      </c>
      <c r="F15" s="64">
        <f>SUM('Data cleaning'!R15+'Data cleaning'!S15+'Data cleaning'!T15)</f>
        <v>323.5</v>
      </c>
      <c r="G15" s="76">
        <f>SUM('Data cleaning'!U15+'Data cleaning'!W15)</f>
        <v>207.6</v>
      </c>
      <c r="H15" s="64">
        <v>107.2</v>
      </c>
      <c r="I15" s="64">
        <v>103.9</v>
      </c>
      <c r="J15" s="64">
        <v>105.7</v>
      </c>
      <c r="K15" s="64">
        <v>104.9</v>
      </c>
      <c r="L15" s="64">
        <v>106.6</v>
      </c>
      <c r="M15" s="64">
        <f>SUM('Data cleaning'!U15+'Data cleaning'!V15+'Data cleaning'!Y15+'Data cleaning'!AC15)</f>
        <v>416.5</v>
      </c>
    </row>
    <row r="16" spans="1:13">
      <c r="A16" s="64" t="s">
        <v>34</v>
      </c>
      <c r="B16" s="64">
        <v>2013</v>
      </c>
      <c r="C16" s="64" t="s">
        <v>38</v>
      </c>
      <c r="D16" s="64">
        <f>SUM('Data cleaning'!D16+'Data cleaning'!E16+'Data cleaning'!F16+'Data cleaning'!G16+'Data cleaning'!H16+'Data cleaning'!I16+'Data cleaning'!J16+'Data cleaning'!K16+'Data cleaning'!L16+'Data cleaning'!O16+'Data cleaning'!P16+'Data cleaning'!M16)</f>
        <v>1294.0999999999999</v>
      </c>
      <c r="E16" s="64">
        <f>SUM('Data cleaning'!N16+'Data cleaning'!Q16+'Data cleaning'!AB16+'Data cleaning'!Z16)</f>
        <v>423.8</v>
      </c>
      <c r="F16" s="64">
        <f>SUM('Data cleaning'!R16+'Data cleaning'!S16+'Data cleaning'!T16)</f>
        <v>324.60000000000002</v>
      </c>
      <c r="G16" s="76">
        <f>SUM('Data cleaning'!U16+'Data cleaning'!W16)</f>
        <v>207.4</v>
      </c>
      <c r="H16" s="64">
        <v>107.4</v>
      </c>
      <c r="I16" s="64">
        <v>104</v>
      </c>
      <c r="J16" s="64">
        <v>105.6</v>
      </c>
      <c r="K16" s="64">
        <v>104.8</v>
      </c>
      <c r="L16" s="64">
        <v>106.9</v>
      </c>
      <c r="M16" s="64">
        <f>SUM('Data cleaning'!U16+'Data cleaning'!V16+'Data cleaning'!Y16+'Data cleaning'!AC16)</f>
        <v>416.7</v>
      </c>
    </row>
    <row r="17" spans="1:13">
      <c r="A17" s="64" t="s">
        <v>30</v>
      </c>
      <c r="B17" s="64">
        <v>2013</v>
      </c>
      <c r="C17" s="64" t="s">
        <v>39</v>
      </c>
      <c r="D17" s="64">
        <f>SUM('Data cleaning'!D17+'Data cleaning'!E17+'Data cleaning'!F17+'Data cleaning'!G17+'Data cleaning'!H17+'Data cleaning'!I17+'Data cleaning'!J17+'Data cleaning'!K17+'Data cleaning'!L17+'Data cleaning'!O17+'Data cleaning'!P17+'Data cleaning'!M17)</f>
        <v>1311.8000000000002</v>
      </c>
      <c r="E17" s="64">
        <f>SUM('Data cleaning'!N17+'Data cleaning'!Q17+'Data cleaning'!AB17+'Data cleaning'!Z17)</f>
        <v>425.29999999999995</v>
      </c>
      <c r="F17" s="64">
        <f>SUM('Data cleaning'!R17+'Data cleaning'!S17+'Data cleaning'!T17)</f>
        <v>328</v>
      </c>
      <c r="G17" s="76">
        <f>SUM('Data cleaning'!U17+'Data cleaning'!W17)</f>
        <v>214.1</v>
      </c>
      <c r="H17" s="64">
        <v>108.5</v>
      </c>
      <c r="I17" s="64">
        <v>105</v>
      </c>
      <c r="J17" s="64">
        <v>106.5</v>
      </c>
      <c r="K17" s="64">
        <v>105.5</v>
      </c>
      <c r="L17" s="64">
        <v>108.9</v>
      </c>
      <c r="M17" s="64">
        <f>SUM('Data cleaning'!U17+'Data cleaning'!V17+'Data cleaning'!Y17+'Data cleaning'!AC17)</f>
        <v>425.6</v>
      </c>
    </row>
    <row r="18" spans="1:13">
      <c r="A18" s="64" t="s">
        <v>33</v>
      </c>
      <c r="B18" s="64">
        <v>2013</v>
      </c>
      <c r="C18" s="64" t="s">
        <v>39</v>
      </c>
      <c r="D18" s="64">
        <f>SUM('Data cleaning'!D18+'Data cleaning'!E18+'Data cleaning'!F18+'Data cleaning'!G18+'Data cleaning'!H18+'Data cleaning'!I18+'Data cleaning'!J18+'Data cleaning'!K18+'Data cleaning'!L18+'Data cleaning'!O18+'Data cleaning'!P18+'Data cleaning'!M18)</f>
        <v>1354.6000000000001</v>
      </c>
      <c r="E18" s="64">
        <f>SUM('Data cleaning'!N18+'Data cleaning'!Q18+'Data cleaning'!AB18+'Data cleaning'!Z18)</f>
        <v>429.4</v>
      </c>
      <c r="F18" s="64">
        <f>SUM('Data cleaning'!R18+'Data cleaning'!S18+'Data cleaning'!T18)</f>
        <v>325.3</v>
      </c>
      <c r="G18" s="76">
        <f>SUM('Data cleaning'!U18+'Data cleaning'!W18)</f>
        <v>215.4</v>
      </c>
      <c r="H18" s="64">
        <v>108</v>
      </c>
      <c r="I18" s="64">
        <v>105.2</v>
      </c>
      <c r="J18" s="64">
        <v>108.1</v>
      </c>
      <c r="K18" s="64">
        <v>106.1</v>
      </c>
      <c r="L18" s="64">
        <v>109.7</v>
      </c>
      <c r="M18" s="64">
        <f>SUM('Data cleaning'!U18+'Data cleaning'!V18+'Data cleaning'!Y18+'Data cleaning'!AC18)</f>
        <v>427</v>
      </c>
    </row>
    <row r="19" spans="1:13">
      <c r="A19" s="64" t="s">
        <v>34</v>
      </c>
      <c r="B19" s="64">
        <v>2013</v>
      </c>
      <c r="C19" s="64" t="s">
        <v>39</v>
      </c>
      <c r="D19" s="64">
        <f>SUM('Data cleaning'!D19+'Data cleaning'!E19+'Data cleaning'!F19+'Data cleaning'!G19+'Data cleaning'!H19+'Data cleaning'!I19+'Data cleaning'!J19+'Data cleaning'!K19+'Data cleaning'!L19+'Data cleaning'!O19+'Data cleaning'!P19+'Data cleaning'!M19)</f>
        <v>1327.0000000000002</v>
      </c>
      <c r="E19" s="64">
        <f>SUM('Data cleaning'!N19+'Data cleaning'!Q19+'Data cleaning'!AB19+'Data cleaning'!Z19)</f>
        <v>426.70000000000005</v>
      </c>
      <c r="F19" s="64">
        <f>SUM('Data cleaning'!R19+'Data cleaning'!S19+'Data cleaning'!T19)</f>
        <v>326.89999999999998</v>
      </c>
      <c r="G19" s="76">
        <f>SUM('Data cleaning'!U19+'Data cleaning'!W19)</f>
        <v>216.5</v>
      </c>
      <c r="H19" s="64">
        <v>108.3</v>
      </c>
      <c r="I19" s="64">
        <v>105.1</v>
      </c>
      <c r="J19" s="64">
        <v>107.4</v>
      </c>
      <c r="K19" s="64">
        <v>105.8</v>
      </c>
      <c r="L19" s="64">
        <v>109.3</v>
      </c>
      <c r="M19" s="64">
        <f>SUM('Data cleaning'!U19+'Data cleaning'!V19+'Data cleaning'!Y19+'Data cleaning'!AC19)</f>
        <v>428.09999999999997</v>
      </c>
    </row>
    <row r="20" spans="1:13">
      <c r="A20" s="64" t="s">
        <v>30</v>
      </c>
      <c r="B20" s="64">
        <v>2013</v>
      </c>
      <c r="C20" s="64" t="s">
        <v>40</v>
      </c>
      <c r="D20" s="64">
        <f>SUM('Data cleaning'!D20+'Data cleaning'!E20+'Data cleaning'!F20+'Data cleaning'!G20+'Data cleaning'!H20+'Data cleaning'!I20+'Data cleaning'!J20+'Data cleaning'!K20+'Data cleaning'!L20+'Data cleaning'!O20+'Data cleaning'!P20+'Data cleaning'!M20)</f>
        <v>1336.8</v>
      </c>
      <c r="E20" s="64">
        <f>SUM('Data cleaning'!N20+'Data cleaning'!Q20+'Data cleaning'!AB20+'Data cleaning'!Z20)</f>
        <v>427.79999999999995</v>
      </c>
      <c r="F20" s="64">
        <f>SUM('Data cleaning'!R20+'Data cleaning'!S20+'Data cleaning'!T20)</f>
        <v>330.3</v>
      </c>
      <c r="G20" s="76">
        <f>SUM('Data cleaning'!U20+'Data cleaning'!W20)</f>
        <v>216</v>
      </c>
      <c r="H20" s="64">
        <v>109.5</v>
      </c>
      <c r="I20" s="64">
        <v>106.8</v>
      </c>
      <c r="J20" s="64">
        <v>107.8</v>
      </c>
      <c r="K20" s="64">
        <v>106.5</v>
      </c>
      <c r="L20" s="64">
        <v>110.7</v>
      </c>
      <c r="M20" s="64">
        <f>SUM('Data cleaning'!U20+'Data cleaning'!V20+'Data cleaning'!Y20+'Data cleaning'!AC20)</f>
        <v>430.5</v>
      </c>
    </row>
    <row r="21" spans="1:13">
      <c r="A21" s="64" t="s">
        <v>33</v>
      </c>
      <c r="B21" s="64">
        <v>2013</v>
      </c>
      <c r="C21" s="64" t="s">
        <v>40</v>
      </c>
      <c r="D21" s="64">
        <f>SUM('Data cleaning'!D21+'Data cleaning'!E21+'Data cleaning'!F21+'Data cleaning'!G21+'Data cleaning'!H21+'Data cleaning'!I21+'Data cleaning'!J21+'Data cleaning'!K21+'Data cleaning'!L21+'Data cleaning'!O21+'Data cleaning'!P21+'Data cleaning'!M21)</f>
        <v>1379</v>
      </c>
      <c r="E21" s="64">
        <f>SUM('Data cleaning'!N21+'Data cleaning'!Q21+'Data cleaning'!AB21+'Data cleaning'!Z21)</f>
        <v>431.20000000000005</v>
      </c>
      <c r="F21" s="64">
        <f>SUM('Data cleaning'!R21+'Data cleaning'!S21+'Data cleaning'!T21)</f>
        <v>327.10000000000002</v>
      </c>
      <c r="G21" s="76">
        <f>SUM('Data cleaning'!U21+'Data cleaning'!W21)</f>
        <v>218.6</v>
      </c>
      <c r="H21" s="64">
        <v>108.6</v>
      </c>
      <c r="I21" s="64">
        <v>107.3</v>
      </c>
      <c r="J21" s="64">
        <v>110.1</v>
      </c>
      <c r="K21" s="64">
        <v>107.3</v>
      </c>
      <c r="L21" s="64">
        <v>111.4</v>
      </c>
      <c r="M21" s="64">
        <f>SUM('Data cleaning'!U21+'Data cleaning'!V21+'Data cleaning'!Y21+'Data cleaning'!AC21)</f>
        <v>433.7</v>
      </c>
    </row>
    <row r="22" spans="1:13">
      <c r="A22" s="64" t="s">
        <v>34</v>
      </c>
      <c r="B22" s="64">
        <v>2013</v>
      </c>
      <c r="C22" s="64" t="s">
        <v>40</v>
      </c>
      <c r="D22" s="64">
        <f>SUM('Data cleaning'!D22+'Data cleaning'!E22+'Data cleaning'!F22+'Data cleaning'!G22+'Data cleaning'!H22+'Data cleaning'!I22+'Data cleaning'!J22+'Data cleaning'!K22+'Data cleaning'!L22+'Data cleaning'!O22+'Data cleaning'!P22+'Data cleaning'!M22)</f>
        <v>1351.8</v>
      </c>
      <c r="E22" s="64">
        <f>SUM('Data cleaning'!N22+'Data cleaning'!Q22+'Data cleaning'!AB22+'Data cleaning'!Z22)</f>
        <v>428.79999999999995</v>
      </c>
      <c r="F22" s="64">
        <f>SUM('Data cleaning'!R22+'Data cleaning'!S22+'Data cleaning'!T22)</f>
        <v>329</v>
      </c>
      <c r="G22" s="76">
        <f>SUM('Data cleaning'!U22+'Data cleaning'!W22)</f>
        <v>219.3</v>
      </c>
      <c r="H22" s="64">
        <v>109.2</v>
      </c>
      <c r="I22" s="64">
        <v>107.1</v>
      </c>
      <c r="J22" s="64">
        <v>109.1</v>
      </c>
      <c r="K22" s="64">
        <v>106.9</v>
      </c>
      <c r="L22" s="64">
        <v>111</v>
      </c>
      <c r="M22" s="64">
        <f>SUM('Data cleaning'!U22+'Data cleaning'!V22+'Data cleaning'!Y22+'Data cleaning'!AC22)</f>
        <v>434.29999999999995</v>
      </c>
    </row>
    <row r="23" spans="1:13">
      <c r="A23" s="64" t="s">
        <v>30</v>
      </c>
      <c r="B23" s="64">
        <v>2013</v>
      </c>
      <c r="C23" s="64" t="s">
        <v>41</v>
      </c>
      <c r="D23" s="64">
        <f>SUM('Data cleaning'!D23+'Data cleaning'!E23+'Data cleaning'!F23+'Data cleaning'!G23+'Data cleaning'!H23+'Data cleaning'!I23+'Data cleaning'!J23+'Data cleaning'!K23+'Data cleaning'!L23+'Data cleaning'!O23+'Data cleaning'!P23+'Data cleaning'!M23)</f>
        <v>1352.8</v>
      </c>
      <c r="E23" s="64">
        <f>SUM('Data cleaning'!N23+'Data cleaning'!Q23+'Data cleaning'!AB23+'Data cleaning'!Z23)</f>
        <v>432.2</v>
      </c>
      <c r="F23" s="64">
        <f>SUM('Data cleaning'!R23+'Data cleaning'!S23+'Data cleaning'!T23)</f>
        <v>332.6</v>
      </c>
      <c r="G23" s="76">
        <f>SUM('Data cleaning'!U23+'Data cleaning'!W23)</f>
        <v>217.60000000000002</v>
      </c>
      <c r="H23" s="64">
        <v>109.9</v>
      </c>
      <c r="I23" s="64">
        <v>107.8</v>
      </c>
      <c r="J23" s="64">
        <v>108.7</v>
      </c>
      <c r="K23" s="64">
        <v>107.5</v>
      </c>
      <c r="L23" s="64">
        <v>112.1</v>
      </c>
      <c r="M23" s="64">
        <f>SUM('Data cleaning'!U23+'Data cleaning'!V23+'Data cleaning'!Y23+'Data cleaning'!AC23)</f>
        <v>434.1</v>
      </c>
    </row>
    <row r="24" spans="1:13">
      <c r="A24" s="64" t="s">
        <v>33</v>
      </c>
      <c r="B24" s="64">
        <v>2013</v>
      </c>
      <c r="C24" s="64" t="s">
        <v>41</v>
      </c>
      <c r="D24" s="64">
        <f>SUM('Data cleaning'!D24+'Data cleaning'!E24+'Data cleaning'!F24+'Data cleaning'!G24+'Data cleaning'!H24+'Data cleaning'!I24+'Data cleaning'!J24+'Data cleaning'!K24+'Data cleaning'!L24+'Data cleaning'!O24+'Data cleaning'!P24+'Data cleaning'!M24)</f>
        <v>1395.2</v>
      </c>
      <c r="E24" s="64">
        <f>SUM('Data cleaning'!N24+'Data cleaning'!Q24+'Data cleaning'!AB24+'Data cleaning'!Z24)</f>
        <v>435.8</v>
      </c>
      <c r="F24" s="64">
        <f>SUM('Data cleaning'!R24+'Data cleaning'!S24+'Data cleaning'!T24)</f>
        <v>329.09999999999997</v>
      </c>
      <c r="G24" s="76">
        <f>SUM('Data cleaning'!U24+'Data cleaning'!W24)</f>
        <v>217.60000000000002</v>
      </c>
      <c r="H24" s="64">
        <v>109.3</v>
      </c>
      <c r="I24" s="64">
        <v>108.1</v>
      </c>
      <c r="J24" s="64">
        <v>110.8</v>
      </c>
      <c r="K24" s="64">
        <v>108.3</v>
      </c>
      <c r="L24" s="64">
        <v>112.7</v>
      </c>
      <c r="M24" s="64">
        <f>SUM('Data cleaning'!U24+'Data cleaning'!V24+'Data cleaning'!Y24+'Data cleaning'!AC24)</f>
        <v>434.59999999999997</v>
      </c>
    </row>
    <row r="25" spans="1:13">
      <c r="A25" s="64" t="s">
        <v>34</v>
      </c>
      <c r="B25" s="64">
        <v>2013</v>
      </c>
      <c r="C25" s="64" t="s">
        <v>41</v>
      </c>
      <c r="D25" s="64">
        <f>SUM('Data cleaning'!D25+'Data cleaning'!E25+'Data cleaning'!F25+'Data cleaning'!G25+'Data cleaning'!H25+'Data cleaning'!I25+'Data cleaning'!J25+'Data cleaning'!K25+'Data cleaning'!L25+'Data cleaning'!O25+'Data cleaning'!P25+'Data cleaning'!M25)</f>
        <v>1367.2</v>
      </c>
      <c r="E25" s="64">
        <f>SUM('Data cleaning'!N25+'Data cleaning'!Q25+'Data cleaning'!AB25+'Data cleaning'!Z25)</f>
        <v>433.4</v>
      </c>
      <c r="F25" s="64">
        <f>SUM('Data cleaning'!R25+'Data cleaning'!S25+'Data cleaning'!T25)</f>
        <v>331.1</v>
      </c>
      <c r="G25" s="76">
        <f>SUM('Data cleaning'!U25+'Data cleaning'!W25)</f>
        <v>217.60000000000002</v>
      </c>
      <c r="H25" s="64">
        <v>109.7</v>
      </c>
      <c r="I25" s="64">
        <v>108</v>
      </c>
      <c r="J25" s="64">
        <v>109.9</v>
      </c>
      <c r="K25" s="64">
        <v>107.9</v>
      </c>
      <c r="L25" s="64">
        <v>112.4</v>
      </c>
      <c r="M25" s="64">
        <f>SUM('Data cleaning'!U25+'Data cleaning'!V25+'Data cleaning'!Y25+'Data cleaning'!AC25)</f>
        <v>434.5</v>
      </c>
    </row>
    <row r="26" spans="1:13">
      <c r="A26" s="64" t="s">
        <v>30</v>
      </c>
      <c r="B26" s="64">
        <v>2013</v>
      </c>
      <c r="C26" s="64" t="s">
        <v>42</v>
      </c>
      <c r="D26" s="64">
        <f>SUM('Data cleaning'!D26+'Data cleaning'!E26+'Data cleaning'!F26+'Data cleaning'!G26+'Data cleaning'!H26+'Data cleaning'!I26+'Data cleaning'!J26+'Data cleaning'!K26+'Data cleaning'!L26+'Data cleaning'!O26+'Data cleaning'!P26+'Data cleaning'!M26)</f>
        <v>1378.1000000000001</v>
      </c>
      <c r="E26" s="64">
        <f>SUM('Data cleaning'!N26+'Data cleaning'!Q26+'Data cleaning'!AB26+'Data cleaning'!Z26)</f>
        <v>436.5</v>
      </c>
      <c r="F26" s="64">
        <f>SUM('Data cleaning'!R26+'Data cleaning'!S26+'Data cleaning'!T26)</f>
        <v>336.6</v>
      </c>
      <c r="G26" s="76">
        <f>SUM('Data cleaning'!U26+'Data cleaning'!W26)</f>
        <v>219.3</v>
      </c>
      <c r="H26" s="64">
        <v>111.1</v>
      </c>
      <c r="I26" s="64">
        <v>109.3</v>
      </c>
      <c r="J26" s="64">
        <v>109.8</v>
      </c>
      <c r="K26" s="64">
        <v>108.7</v>
      </c>
      <c r="L26" s="64">
        <v>114.2</v>
      </c>
      <c r="M26" s="64">
        <f>SUM('Data cleaning'!U26+'Data cleaning'!V26+'Data cleaning'!Y26+'Data cleaning'!AC26)</f>
        <v>438.8</v>
      </c>
    </row>
    <row r="27" spans="1:13">
      <c r="A27" s="64" t="s">
        <v>33</v>
      </c>
      <c r="B27" s="64">
        <v>2013</v>
      </c>
      <c r="C27" s="64" t="s">
        <v>42</v>
      </c>
      <c r="D27" s="64">
        <f>SUM('Data cleaning'!D27+'Data cleaning'!E27+'Data cleaning'!F27+'Data cleaning'!G27+'Data cleaning'!H27+'Data cleaning'!I27+'Data cleaning'!J27+'Data cleaning'!K27+'Data cleaning'!L27+'Data cleaning'!O27+'Data cleaning'!P27+'Data cleaning'!M27)</f>
        <v>1389.3000000000002</v>
      </c>
      <c r="E27" s="64">
        <f>SUM('Data cleaning'!N27+'Data cleaning'!Q27+'Data cleaning'!AB27+'Data cleaning'!Z27)</f>
        <v>438.29999999999995</v>
      </c>
      <c r="F27" s="64">
        <f>SUM('Data cleaning'!R27+'Data cleaning'!S27+'Data cleaning'!T27)</f>
        <v>331.5</v>
      </c>
      <c r="G27" s="76">
        <f>SUM('Data cleaning'!U27+'Data cleaning'!W27)</f>
        <v>219.3</v>
      </c>
      <c r="H27" s="64">
        <v>109.5</v>
      </c>
      <c r="I27" s="64">
        <v>110.4</v>
      </c>
      <c r="J27" s="64">
        <v>111.2</v>
      </c>
      <c r="K27" s="64">
        <v>109.4</v>
      </c>
      <c r="L27" s="64">
        <v>113.2</v>
      </c>
      <c r="M27" s="64">
        <f>SUM('Data cleaning'!U27+'Data cleaning'!V27+'Data cleaning'!Y27+'Data cleaning'!AC27)</f>
        <v>439</v>
      </c>
    </row>
    <row r="28" spans="1:13">
      <c r="A28" s="64" t="s">
        <v>34</v>
      </c>
      <c r="B28" s="64">
        <v>2013</v>
      </c>
      <c r="C28" s="64" t="s">
        <v>42</v>
      </c>
      <c r="D28" s="64">
        <f>SUM('Data cleaning'!D28+'Data cleaning'!E28+'Data cleaning'!F28+'Data cleaning'!G28+'Data cleaning'!H28+'Data cleaning'!I28+'Data cleaning'!J28+'Data cleaning'!K28+'Data cleaning'!L28+'Data cleaning'!O28+'Data cleaning'!P28+'Data cleaning'!M28)</f>
        <v>1380.9999999999998</v>
      </c>
      <c r="E28" s="64">
        <f>SUM('Data cleaning'!N28+'Data cleaning'!Q28+'Data cleaning'!AB28+'Data cleaning'!Z28)</f>
        <v>437</v>
      </c>
      <c r="F28" s="64">
        <f>SUM('Data cleaning'!R28+'Data cleaning'!S28+'Data cleaning'!T28)</f>
        <v>334.5</v>
      </c>
      <c r="G28" s="76">
        <f>SUM('Data cleaning'!U28+'Data cleaning'!W28)</f>
        <v>219.3</v>
      </c>
      <c r="H28" s="64">
        <v>110.5</v>
      </c>
      <c r="I28" s="64">
        <v>109.9</v>
      </c>
      <c r="J28" s="64">
        <v>110.6</v>
      </c>
      <c r="K28" s="64">
        <v>109</v>
      </c>
      <c r="L28" s="64">
        <v>113.7</v>
      </c>
      <c r="M28" s="64">
        <f>SUM('Data cleaning'!U28+'Data cleaning'!V28+'Data cleaning'!Y28+'Data cleaning'!AC28)</f>
        <v>439.1</v>
      </c>
    </row>
    <row r="29" spans="1:13">
      <c r="A29" s="64" t="s">
        <v>30</v>
      </c>
      <c r="B29" s="64">
        <v>2013</v>
      </c>
      <c r="C29" s="64" t="s">
        <v>43</v>
      </c>
      <c r="D29" s="64">
        <f>SUM('Data cleaning'!D29+'Data cleaning'!E29+'Data cleaning'!F29+'Data cleaning'!G29+'Data cleaning'!H29+'Data cleaning'!I29+'Data cleaning'!J29+'Data cleaning'!K29+'Data cleaning'!L29+'Data cleaning'!O29+'Data cleaning'!P29+'Data cleaning'!M29)</f>
        <v>1396.9</v>
      </c>
      <c r="E29" s="64">
        <f>SUM('Data cleaning'!N29+'Data cleaning'!Q29+'Data cleaning'!AB29+'Data cleaning'!Z29)</f>
        <v>439.1</v>
      </c>
      <c r="F29" s="64">
        <f>SUM('Data cleaning'!R29+'Data cleaning'!S29+'Data cleaning'!T29)</f>
        <v>339.29999999999995</v>
      </c>
      <c r="G29" s="76">
        <f>SUM('Data cleaning'!U29+'Data cleaning'!W29)</f>
        <v>220.9</v>
      </c>
      <c r="H29" s="64">
        <v>111.6</v>
      </c>
      <c r="I29" s="64">
        <v>109.3</v>
      </c>
      <c r="J29" s="64">
        <v>110.2</v>
      </c>
      <c r="K29" s="64">
        <v>109.1</v>
      </c>
      <c r="L29" s="64">
        <v>115.5</v>
      </c>
      <c r="M29" s="64">
        <f>SUM('Data cleaning'!U29+'Data cleaning'!V29+'Data cleaning'!Y29+'Data cleaning'!AC29)</f>
        <v>440.5</v>
      </c>
    </row>
    <row r="30" spans="1:13">
      <c r="A30" s="64" t="s">
        <v>33</v>
      </c>
      <c r="B30" s="64">
        <v>2013</v>
      </c>
      <c r="C30" s="64" t="s">
        <v>43</v>
      </c>
      <c r="D30" s="64">
        <f>SUM('Data cleaning'!D30+'Data cleaning'!E30+'Data cleaning'!F30+'Data cleaning'!G30+'Data cleaning'!H30+'Data cleaning'!I30+'Data cleaning'!J30+'Data cleaning'!K30+'Data cleaning'!L30+'Data cleaning'!O30+'Data cleaning'!P30+'Data cleaning'!M30)</f>
        <v>1405.7999999999997</v>
      </c>
      <c r="E30" s="64">
        <f>SUM('Data cleaning'!N30+'Data cleaning'!Q30+'Data cleaning'!AB30+'Data cleaning'!Z30)</f>
        <v>440.2</v>
      </c>
      <c r="F30" s="64">
        <f>SUM('Data cleaning'!R30+'Data cleaning'!S30+'Data cleaning'!T30)</f>
        <v>334.2</v>
      </c>
      <c r="G30" s="76">
        <f>SUM('Data cleaning'!U30+'Data cleaning'!W30)</f>
        <v>220.7</v>
      </c>
      <c r="H30" s="64">
        <v>109.7</v>
      </c>
      <c r="I30" s="64">
        <v>109.7</v>
      </c>
      <c r="J30" s="64">
        <v>111.3</v>
      </c>
      <c r="K30" s="64">
        <v>109.4</v>
      </c>
      <c r="L30" s="64">
        <v>114</v>
      </c>
      <c r="M30" s="64">
        <f>SUM('Data cleaning'!U30+'Data cleaning'!V30+'Data cleaning'!Y30+'Data cleaning'!AC30)</f>
        <v>439.29999999999995</v>
      </c>
    </row>
    <row r="31" spans="1:13">
      <c r="A31" s="64" t="s">
        <v>34</v>
      </c>
      <c r="B31" s="64">
        <v>2013</v>
      </c>
      <c r="C31" s="64" t="s">
        <v>43</v>
      </c>
      <c r="D31" s="64">
        <f>SUM('Data cleaning'!D31+'Data cleaning'!E31+'Data cleaning'!F31+'Data cleaning'!G31+'Data cleaning'!H31+'Data cleaning'!I31+'Data cleaning'!J31+'Data cleaning'!K31+'Data cleaning'!L31+'Data cleaning'!O31+'Data cleaning'!P31+'Data cleaning'!M31)</f>
        <v>1399.0000000000002</v>
      </c>
      <c r="E31" s="64">
        <f>SUM('Data cleaning'!N31+'Data cleaning'!Q31+'Data cleaning'!AB31+'Data cleaning'!Z31)</f>
        <v>439.20000000000005</v>
      </c>
      <c r="F31" s="64">
        <f>SUM('Data cleaning'!R31+'Data cleaning'!S31+'Data cleaning'!T31)</f>
        <v>337.2</v>
      </c>
      <c r="G31" s="76">
        <f>SUM('Data cleaning'!U31+'Data cleaning'!W31)</f>
        <v>220.8</v>
      </c>
      <c r="H31" s="64">
        <v>110.9</v>
      </c>
      <c r="I31" s="64">
        <v>109.5</v>
      </c>
      <c r="J31" s="64">
        <v>110.8</v>
      </c>
      <c r="K31" s="64">
        <v>109.2</v>
      </c>
      <c r="L31" s="64">
        <v>114.8</v>
      </c>
      <c r="M31" s="64">
        <f>SUM('Data cleaning'!U31+'Data cleaning'!V31+'Data cleaning'!Y31+'Data cleaning'!AC31)</f>
        <v>440.09999999999997</v>
      </c>
    </row>
    <row r="32" spans="1:13">
      <c r="A32" s="64" t="s">
        <v>30</v>
      </c>
      <c r="B32" s="64">
        <v>2013</v>
      </c>
      <c r="C32" s="64" t="s">
        <v>44</v>
      </c>
      <c r="D32" s="64">
        <f>SUM('Data cleaning'!D32+'Data cleaning'!E32+'Data cleaning'!F32+'Data cleaning'!G32+'Data cleaning'!H32+'Data cleaning'!I32+'Data cleaning'!J32+'Data cleaning'!K32+'Data cleaning'!L32+'Data cleaning'!O32+'Data cleaning'!P32+'Data cleaning'!M32)</f>
        <v>1425</v>
      </c>
      <c r="E32" s="64">
        <f>SUM('Data cleaning'!N32+'Data cleaning'!Q32+'Data cleaning'!AB32+'Data cleaning'!Z32)</f>
        <v>441.5</v>
      </c>
      <c r="F32" s="64">
        <f>SUM('Data cleaning'!R32+'Data cleaning'!S32+'Data cleaning'!T32)</f>
        <v>342.1</v>
      </c>
      <c r="G32" s="76">
        <f>SUM('Data cleaning'!U32+'Data cleaning'!W32)</f>
        <v>222.39999999999998</v>
      </c>
      <c r="H32" s="64">
        <v>112.6</v>
      </c>
      <c r="I32" s="64">
        <v>109.6</v>
      </c>
      <c r="J32" s="64">
        <v>111</v>
      </c>
      <c r="K32" s="64">
        <v>109.8</v>
      </c>
      <c r="L32" s="64">
        <v>117.4</v>
      </c>
      <c r="M32" s="64">
        <f>SUM('Data cleaning'!U32+'Data cleaning'!V32+'Data cleaning'!Y32+'Data cleaning'!AC32)</f>
        <v>443.09999999999997</v>
      </c>
    </row>
    <row r="33" spans="1:13">
      <c r="A33" s="64" t="s">
        <v>33</v>
      </c>
      <c r="B33" s="64">
        <v>2013</v>
      </c>
      <c r="C33" s="64" t="s">
        <v>45</v>
      </c>
      <c r="D33" s="64">
        <f>SUM('Data cleaning'!D33+'Data cleaning'!E33+'Data cleaning'!F33+'Data cleaning'!G33+'Data cleaning'!H33+'Data cleaning'!I33+'Data cleaning'!J33+'Data cleaning'!K33+'Data cleaning'!L33+'Data cleaning'!O33+'Data cleaning'!P33+'Data cleaning'!M33)</f>
        <v>1432.8</v>
      </c>
      <c r="E33" s="64">
        <f>SUM('Data cleaning'!N33+'Data cleaning'!Q33+'Data cleaning'!AB33+'Data cleaning'!Z33)</f>
        <v>442.29999999999995</v>
      </c>
      <c r="F33" s="64">
        <f>SUM('Data cleaning'!R33+'Data cleaning'!S33+'Data cleaning'!T33)</f>
        <v>336.8</v>
      </c>
      <c r="G33" s="76">
        <f>SUM('Data cleaning'!U33+'Data cleaning'!W33)</f>
        <v>222</v>
      </c>
      <c r="H33" s="64">
        <v>110</v>
      </c>
      <c r="I33" s="64">
        <v>109.5</v>
      </c>
      <c r="J33" s="64">
        <v>111.3</v>
      </c>
      <c r="K33" s="64">
        <v>109.6</v>
      </c>
      <c r="L33" s="64">
        <v>115</v>
      </c>
      <c r="M33" s="64">
        <f>SUM('Data cleaning'!U33+'Data cleaning'!V33+'Data cleaning'!Y33+'Data cleaning'!AC33)</f>
        <v>440.20000000000005</v>
      </c>
    </row>
    <row r="34" spans="1:13">
      <c r="A34" s="64" t="s">
        <v>34</v>
      </c>
      <c r="B34" s="64">
        <v>2013</v>
      </c>
      <c r="C34" s="64" t="s">
        <v>45</v>
      </c>
      <c r="D34" s="64">
        <f>SUM('Data cleaning'!D34+'Data cleaning'!E34+'Data cleaning'!F34+'Data cleaning'!G34+'Data cleaning'!H34+'Data cleaning'!I34+'Data cleaning'!J34+'Data cleaning'!K34+'Data cleaning'!L34+'Data cleaning'!O34+'Data cleaning'!P34+'Data cleaning'!M34)</f>
        <v>1427</v>
      </c>
      <c r="E34" s="64">
        <f>SUM('Data cleaning'!N34+'Data cleaning'!Q34+'Data cleaning'!AB34+'Data cleaning'!Z34)</f>
        <v>441.6</v>
      </c>
      <c r="F34" s="64">
        <f>SUM('Data cleaning'!R34+'Data cleaning'!S34+'Data cleaning'!T34)</f>
        <v>339.90000000000003</v>
      </c>
      <c r="G34" s="76">
        <f>SUM('Data cleaning'!U34+'Data cleaning'!W34)</f>
        <v>222.2</v>
      </c>
      <c r="H34" s="64">
        <v>111.6</v>
      </c>
      <c r="I34" s="64">
        <v>109.5</v>
      </c>
      <c r="J34" s="64">
        <v>111.2</v>
      </c>
      <c r="K34" s="64">
        <v>109.7</v>
      </c>
      <c r="L34" s="64">
        <v>116.3</v>
      </c>
      <c r="M34" s="64">
        <f>SUM('Data cleaning'!U34+'Data cleaning'!V34+'Data cleaning'!Y34+'Data cleaning'!AC34)</f>
        <v>441.9</v>
      </c>
    </row>
    <row r="35" spans="1:13">
      <c r="A35" s="64" t="s">
        <v>30</v>
      </c>
      <c r="B35" s="64">
        <v>2013</v>
      </c>
      <c r="C35" s="64" t="s">
        <v>46</v>
      </c>
      <c r="D35" s="64">
        <f>SUM('Data cleaning'!D35+'Data cleaning'!E35+'Data cleaning'!F35+'Data cleaning'!G35+'Data cleaning'!H35+'Data cleaning'!I35+'Data cleaning'!J35+'Data cleaning'!K35+'Data cleaning'!L35+'Data cleaning'!O35+'Data cleaning'!P35+'Data cleaning'!M35)</f>
        <v>1396.9</v>
      </c>
      <c r="E35" s="64">
        <f>SUM('Data cleaning'!N35+'Data cleaning'!Q35+'Data cleaning'!AB35+'Data cleaning'!Z35)</f>
        <v>442.99999999999994</v>
      </c>
      <c r="F35" s="64">
        <f>SUM('Data cleaning'!R35+'Data cleaning'!S35+'Data cleaning'!T35)</f>
        <v>345.3</v>
      </c>
      <c r="G35" s="76">
        <f>SUM('Data cleaning'!U35+'Data cleaning'!W35)</f>
        <v>222.8</v>
      </c>
      <c r="H35" s="64">
        <v>112.8</v>
      </c>
      <c r="I35" s="64">
        <v>109.9</v>
      </c>
      <c r="J35" s="64">
        <v>111.6</v>
      </c>
      <c r="K35" s="64">
        <v>110.1</v>
      </c>
      <c r="L35" s="64">
        <v>115.5</v>
      </c>
      <c r="M35" s="64">
        <f>SUM('Data cleaning'!U35+'Data cleaning'!V35+'Data cleaning'!Y35+'Data cleaning'!AC35)</f>
        <v>443.5</v>
      </c>
    </row>
    <row r="36" spans="1:13">
      <c r="A36" s="64" t="s">
        <v>33</v>
      </c>
      <c r="B36" s="64">
        <v>2013</v>
      </c>
      <c r="C36" s="64" t="s">
        <v>46</v>
      </c>
      <c r="D36" s="64">
        <f>SUM('Data cleaning'!D36+'Data cleaning'!E36+'Data cleaning'!F36+'Data cleaning'!G36+'Data cleaning'!H36+'Data cleaning'!I36+'Data cleaning'!J36+'Data cleaning'!K36+'Data cleaning'!L36+'Data cleaning'!O36+'Data cleaning'!P36+'Data cleaning'!M36)</f>
        <v>1392.3000000000002</v>
      </c>
      <c r="E36" s="64">
        <f>SUM('Data cleaning'!N36+'Data cleaning'!Q36+'Data cleaning'!AB36+'Data cleaning'!Z36)</f>
        <v>443.70000000000005</v>
      </c>
      <c r="F36" s="64">
        <f>SUM('Data cleaning'!R36+'Data cleaning'!S36+'Data cleaning'!T36)</f>
        <v>338.8</v>
      </c>
      <c r="G36" s="76">
        <f>SUM('Data cleaning'!U36+'Data cleaning'!W36)</f>
        <v>222</v>
      </c>
      <c r="H36" s="64">
        <v>110.4</v>
      </c>
      <c r="I36" s="64">
        <v>109.7</v>
      </c>
      <c r="J36" s="64">
        <v>111.4</v>
      </c>
      <c r="K36" s="64">
        <v>109.8</v>
      </c>
      <c r="L36" s="64">
        <v>113.3</v>
      </c>
      <c r="M36" s="64">
        <f>SUM('Data cleaning'!U36+'Data cleaning'!V36+'Data cleaning'!Y36+'Data cleaning'!AC36)</f>
        <v>440.6</v>
      </c>
    </row>
    <row r="37" spans="1:13">
      <c r="A37" s="64" t="s">
        <v>34</v>
      </c>
      <c r="B37" s="64">
        <v>2013</v>
      </c>
      <c r="C37" s="64" t="s">
        <v>46</v>
      </c>
      <c r="D37" s="64">
        <f>SUM('Data cleaning'!D37+'Data cleaning'!E37+'Data cleaning'!F37+'Data cleaning'!G37+'Data cleaning'!H37+'Data cleaning'!I37+'Data cleaning'!J37+'Data cleaning'!K37+'Data cleaning'!L37+'Data cleaning'!O37+'Data cleaning'!P37+'Data cleaning'!M37)</f>
        <v>1395.2000000000003</v>
      </c>
      <c r="E37" s="64">
        <f>SUM('Data cleaning'!N37+'Data cleaning'!Q37+'Data cleaning'!AB37+'Data cleaning'!Z37)</f>
        <v>443</v>
      </c>
      <c r="F37" s="64">
        <f>SUM('Data cleaning'!R37+'Data cleaning'!S37+'Data cleaning'!T37)</f>
        <v>342.7</v>
      </c>
      <c r="G37" s="76">
        <f>SUM('Data cleaning'!U37+'Data cleaning'!W37)</f>
        <v>222.4</v>
      </c>
      <c r="H37" s="64">
        <v>111.9</v>
      </c>
      <c r="I37" s="64">
        <v>109.8</v>
      </c>
      <c r="J37" s="64">
        <v>111.5</v>
      </c>
      <c r="K37" s="64">
        <v>110</v>
      </c>
      <c r="L37" s="64">
        <v>114.5</v>
      </c>
      <c r="M37" s="64">
        <f>SUM('Data cleaning'!U37+'Data cleaning'!V37+'Data cleaning'!Y37+'Data cleaning'!AC37)</f>
        <v>442.40000000000003</v>
      </c>
    </row>
    <row r="38" spans="1:13">
      <c r="A38" s="64" t="s">
        <v>30</v>
      </c>
      <c r="B38" s="64">
        <v>2014</v>
      </c>
      <c r="C38" s="64" t="s">
        <v>31</v>
      </c>
      <c r="D38" s="64">
        <f>SUM('Data cleaning'!D38+'Data cleaning'!E38+'Data cleaning'!F38+'Data cleaning'!G38+'Data cleaning'!H38+'Data cleaning'!I38+'Data cleaning'!J38+'Data cleaning'!K38+'Data cleaning'!L38+'Data cleaning'!O38+'Data cleaning'!P38+'Data cleaning'!M38)</f>
        <v>1374.2</v>
      </c>
      <c r="E38" s="64">
        <f>SUM('Data cleaning'!N38+'Data cleaning'!Q38+'Data cleaning'!AB38+'Data cleaning'!Z38)</f>
        <v>444.29999999999995</v>
      </c>
      <c r="F38" s="64">
        <f>SUM('Data cleaning'!R38+'Data cleaning'!S38+'Data cleaning'!T38)</f>
        <v>347.2</v>
      </c>
      <c r="G38" s="76">
        <f>SUM('Data cleaning'!U38+'Data cleaning'!W38)</f>
        <v>224.2</v>
      </c>
      <c r="H38" s="64">
        <v>113</v>
      </c>
      <c r="I38" s="64">
        <v>110.5</v>
      </c>
      <c r="J38" s="64">
        <v>111.8</v>
      </c>
      <c r="K38" s="64">
        <v>110.6</v>
      </c>
      <c r="L38" s="64">
        <v>114.2</v>
      </c>
      <c r="M38" s="64">
        <f>SUM('Data cleaning'!U38+'Data cleaning'!V38+'Data cleaning'!Y38+'Data cleaning'!AC38)</f>
        <v>445.70000000000005</v>
      </c>
    </row>
    <row r="39" spans="1:13">
      <c r="A39" s="64" t="s">
        <v>33</v>
      </c>
      <c r="B39" s="64">
        <v>2014</v>
      </c>
      <c r="C39" s="64" t="s">
        <v>31</v>
      </c>
      <c r="D39" s="64">
        <f>SUM('Data cleaning'!D39+'Data cleaning'!E39+'Data cleaning'!F39+'Data cleaning'!G39+'Data cleaning'!H39+'Data cleaning'!I39+'Data cleaning'!J39+'Data cleaning'!K39+'Data cleaning'!L39+'Data cleaning'!O39+'Data cleaning'!P39+'Data cleaning'!M39)</f>
        <v>1372.2</v>
      </c>
      <c r="E39" s="64">
        <f>SUM('Data cleaning'!N39+'Data cleaning'!Q39+'Data cleaning'!AB39+'Data cleaning'!Z39)</f>
        <v>445.6</v>
      </c>
      <c r="F39" s="64">
        <f>SUM('Data cleaning'!R39+'Data cleaning'!S39+'Data cleaning'!T39)</f>
        <v>340.4</v>
      </c>
      <c r="G39" s="76">
        <f>SUM('Data cleaning'!U39+'Data cleaning'!W39)</f>
        <v>223.5</v>
      </c>
      <c r="H39" s="64">
        <v>111</v>
      </c>
      <c r="I39" s="64">
        <v>110.8</v>
      </c>
      <c r="J39" s="64">
        <v>111.5</v>
      </c>
      <c r="K39" s="64">
        <v>110.5</v>
      </c>
      <c r="L39" s="64">
        <v>112.9</v>
      </c>
      <c r="M39" s="64">
        <f>SUM('Data cleaning'!U39+'Data cleaning'!V39+'Data cleaning'!Y39+'Data cleaning'!AC39)</f>
        <v>443.9</v>
      </c>
    </row>
    <row r="40" spans="1:13">
      <c r="A40" s="64" t="s">
        <v>34</v>
      </c>
      <c r="B40" s="64">
        <v>2014</v>
      </c>
      <c r="C40" s="64" t="s">
        <v>31</v>
      </c>
      <c r="D40" s="64">
        <f>SUM('Data cleaning'!D40+'Data cleaning'!E40+'Data cleaning'!F40+'Data cleaning'!G40+'Data cleaning'!H40+'Data cleaning'!I40+'Data cleaning'!J40+'Data cleaning'!K40+'Data cleaning'!L40+'Data cleaning'!O40+'Data cleaning'!P40+'Data cleaning'!M40)</f>
        <v>1373.4999999999998</v>
      </c>
      <c r="E40" s="64">
        <f>SUM('Data cleaning'!N40+'Data cleaning'!Q40+'Data cleaning'!AB40+'Data cleaning'!Z40)</f>
        <v>444.7</v>
      </c>
      <c r="F40" s="64">
        <f>SUM('Data cleaning'!R40+'Data cleaning'!S40+'Data cleaning'!T40)</f>
        <v>344.4</v>
      </c>
      <c r="G40" s="76">
        <f>SUM('Data cleaning'!U40+'Data cleaning'!W40)</f>
        <v>223.89999999999998</v>
      </c>
      <c r="H40" s="64">
        <v>112.2</v>
      </c>
      <c r="I40" s="64">
        <v>110.7</v>
      </c>
      <c r="J40" s="64">
        <v>111.6</v>
      </c>
      <c r="K40" s="64">
        <v>110.6</v>
      </c>
      <c r="L40" s="64">
        <v>113.6</v>
      </c>
      <c r="M40" s="64">
        <f>SUM('Data cleaning'!U40+'Data cleaning'!V40+'Data cleaning'!Y40+'Data cleaning'!AC40)</f>
        <v>445.1</v>
      </c>
    </row>
    <row r="41" spans="1:13">
      <c r="A41" s="64" t="s">
        <v>30</v>
      </c>
      <c r="B41" s="64">
        <v>2014</v>
      </c>
      <c r="C41" s="64" t="s">
        <v>35</v>
      </c>
      <c r="D41" s="64">
        <f>SUM('Data cleaning'!D41+'Data cleaning'!E41+'Data cleaning'!F41+'Data cleaning'!G41+'Data cleaning'!H41+'Data cleaning'!I41+'Data cleaning'!J41+'Data cleaning'!K41+'Data cleaning'!L41+'Data cleaning'!O41+'Data cleaning'!P41+'Data cleaning'!M41)</f>
        <v>1369.3</v>
      </c>
      <c r="E41" s="64">
        <f>SUM('Data cleaning'!N41+'Data cleaning'!Q41+'Data cleaning'!AB41+'Data cleaning'!Z41)</f>
        <v>445.70000000000005</v>
      </c>
      <c r="F41" s="64">
        <f>SUM('Data cleaning'!R41+'Data cleaning'!S41+'Data cleaning'!T41)</f>
        <v>348.3</v>
      </c>
      <c r="G41" s="76">
        <f>SUM('Data cleaning'!U41+'Data cleaning'!W41)</f>
        <v>225.4</v>
      </c>
      <c r="H41" s="64">
        <v>113.2</v>
      </c>
      <c r="I41" s="64">
        <v>110.8</v>
      </c>
      <c r="J41" s="64">
        <v>112</v>
      </c>
      <c r="K41" s="64">
        <v>110.9</v>
      </c>
      <c r="L41" s="64">
        <v>114</v>
      </c>
      <c r="M41" s="64">
        <f>SUM('Data cleaning'!U41+'Data cleaning'!V41+'Data cleaning'!Y41+'Data cleaning'!AC41)</f>
        <v>447.4</v>
      </c>
    </row>
    <row r="42" spans="1:13">
      <c r="A42" s="64" t="s">
        <v>33</v>
      </c>
      <c r="B42" s="64">
        <v>2014</v>
      </c>
      <c r="C42" s="64" t="s">
        <v>35</v>
      </c>
      <c r="D42" s="64">
        <f>SUM('Data cleaning'!D42+'Data cleaning'!E42+'Data cleaning'!F42+'Data cleaning'!G42+'Data cleaning'!H42+'Data cleaning'!I42+'Data cleaning'!J42+'Data cleaning'!K42+'Data cleaning'!L42+'Data cleaning'!O42+'Data cleaning'!P42+'Data cleaning'!M42)</f>
        <v>1363.9</v>
      </c>
      <c r="E42" s="64">
        <f>SUM('Data cleaning'!N42+'Data cleaning'!Q42+'Data cleaning'!AB42+'Data cleaning'!Z42)</f>
        <v>447.3</v>
      </c>
      <c r="F42" s="64">
        <f>SUM('Data cleaning'!R42+'Data cleaning'!S42+'Data cleaning'!T42)</f>
        <v>341.7</v>
      </c>
      <c r="G42" s="76">
        <f>SUM('Data cleaning'!U42+'Data cleaning'!W42)</f>
        <v>225.1</v>
      </c>
      <c r="H42" s="64">
        <v>111.1</v>
      </c>
      <c r="I42" s="64">
        <v>111.3</v>
      </c>
      <c r="J42" s="64">
        <v>111.6</v>
      </c>
      <c r="K42" s="64">
        <v>111</v>
      </c>
      <c r="L42" s="64">
        <v>113.1</v>
      </c>
      <c r="M42" s="64">
        <f>SUM('Data cleaning'!U42+'Data cleaning'!V42+'Data cleaning'!Y42+'Data cleaning'!AC42)</f>
        <v>445.9</v>
      </c>
    </row>
    <row r="43" spans="1:13">
      <c r="A43" s="64" t="s">
        <v>34</v>
      </c>
      <c r="B43" s="64">
        <v>2014</v>
      </c>
      <c r="C43" s="64" t="s">
        <v>35</v>
      </c>
      <c r="D43" s="64">
        <f>SUM('Data cleaning'!D43+'Data cleaning'!E43+'Data cleaning'!F43+'Data cleaning'!G43+'Data cleaning'!H43+'Data cleaning'!I43+'Data cleaning'!J43+'Data cleaning'!K43+'Data cleaning'!L43+'Data cleaning'!O43+'Data cleaning'!P43+'Data cleaning'!M43)</f>
        <v>1367.5</v>
      </c>
      <c r="E43" s="64">
        <f>SUM('Data cleaning'!N43+'Data cleaning'!Q43+'Data cleaning'!AB43+'Data cleaning'!Z43)</f>
        <v>446.1</v>
      </c>
      <c r="F43" s="64">
        <f>SUM('Data cleaning'!R43+'Data cleaning'!S43+'Data cleaning'!T43)</f>
        <v>345.6</v>
      </c>
      <c r="G43" s="76">
        <f>SUM('Data cleaning'!U43+'Data cleaning'!W43)</f>
        <v>225.3</v>
      </c>
      <c r="H43" s="64">
        <v>112.4</v>
      </c>
      <c r="I43" s="64">
        <v>111.1</v>
      </c>
      <c r="J43" s="64">
        <v>111.8</v>
      </c>
      <c r="K43" s="64">
        <v>110.9</v>
      </c>
      <c r="L43" s="64">
        <v>113.6</v>
      </c>
      <c r="M43" s="64">
        <f>SUM('Data cleaning'!U43+'Data cleaning'!V43+'Data cleaning'!Y43+'Data cleaning'!AC43)</f>
        <v>446.9</v>
      </c>
    </row>
    <row r="44" spans="1:13">
      <c r="A44" s="64" t="s">
        <v>30</v>
      </c>
      <c r="B44" s="64">
        <v>2014</v>
      </c>
      <c r="C44" s="64" t="s">
        <v>36</v>
      </c>
      <c r="D44" s="64">
        <f>SUM('Data cleaning'!D44+'Data cleaning'!E44+'Data cleaning'!F44+'Data cleaning'!G44+'Data cleaning'!H44+'Data cleaning'!I44+'Data cleaning'!J44+'Data cleaning'!K44+'Data cleaning'!L44+'Data cleaning'!O44+'Data cleaning'!P44+'Data cleaning'!M44)</f>
        <v>1378.4</v>
      </c>
      <c r="E44" s="64">
        <f>SUM('Data cleaning'!N44+'Data cleaning'!Q44+'Data cleaning'!AB44+'Data cleaning'!Z44)</f>
        <v>446.7</v>
      </c>
      <c r="F44" s="64">
        <f>SUM('Data cleaning'!R44+'Data cleaning'!S44+'Data cleaning'!T44)</f>
        <v>349.6</v>
      </c>
      <c r="G44" s="76">
        <f>SUM('Data cleaning'!U44+'Data cleaning'!W44)</f>
        <v>226.60000000000002</v>
      </c>
      <c r="H44" s="64">
        <v>113.4</v>
      </c>
      <c r="I44" s="64">
        <v>111.2</v>
      </c>
      <c r="J44" s="64">
        <v>112.4</v>
      </c>
      <c r="K44" s="64">
        <v>111.3</v>
      </c>
      <c r="L44" s="64">
        <v>114.6</v>
      </c>
      <c r="M44" s="64">
        <f>SUM('Data cleaning'!U44+'Data cleaning'!V44+'Data cleaning'!Y44+'Data cleaning'!AC44)</f>
        <v>449.1</v>
      </c>
    </row>
    <row r="45" spans="1:13">
      <c r="A45" s="64" t="s">
        <v>33</v>
      </c>
      <c r="B45" s="64">
        <v>2014</v>
      </c>
      <c r="C45" s="64" t="s">
        <v>36</v>
      </c>
      <c r="D45" s="64">
        <f>SUM('Data cleaning'!D45+'Data cleaning'!E45+'Data cleaning'!F45+'Data cleaning'!G45+'Data cleaning'!H45+'Data cleaning'!I45+'Data cleaning'!J45+'Data cleaning'!K45+'Data cleaning'!L45+'Data cleaning'!O45+'Data cleaning'!P45+'Data cleaning'!M45)</f>
        <v>1370.7999999999997</v>
      </c>
      <c r="E45" s="64">
        <f>SUM('Data cleaning'!N45+'Data cleaning'!Q45+'Data cleaning'!AB45+'Data cleaning'!Z45)</f>
        <v>449</v>
      </c>
      <c r="F45" s="64">
        <f>SUM('Data cleaning'!R45+'Data cleaning'!S45+'Data cleaning'!T45)</f>
        <v>343.09999999999997</v>
      </c>
      <c r="G45" s="76">
        <f>SUM('Data cleaning'!U45+'Data cleaning'!W45)</f>
        <v>226.2</v>
      </c>
      <c r="H45" s="64">
        <v>110.9</v>
      </c>
      <c r="I45" s="64">
        <v>111.6</v>
      </c>
      <c r="J45" s="64">
        <v>111.8</v>
      </c>
      <c r="K45" s="64">
        <v>111.4</v>
      </c>
      <c r="L45" s="64">
        <v>113.7</v>
      </c>
      <c r="M45" s="64">
        <f>SUM('Data cleaning'!U45+'Data cleaning'!V45+'Data cleaning'!Y45+'Data cleaning'!AC45)</f>
        <v>447.1</v>
      </c>
    </row>
    <row r="46" spans="1:13">
      <c r="A46" s="64" t="s">
        <v>34</v>
      </c>
      <c r="B46" s="64">
        <v>2014</v>
      </c>
      <c r="C46" s="64" t="s">
        <v>47</v>
      </c>
      <c r="D46" s="64">
        <f>SUM('Data cleaning'!D46+'Data cleaning'!E46+'Data cleaning'!F46+'Data cleaning'!G46+'Data cleaning'!H46+'Data cleaning'!I46+'Data cleaning'!J46+'Data cleaning'!K46+'Data cleaning'!L46+'Data cleaning'!O46+'Data cleaning'!P46+'Data cleaning'!M46)</f>
        <v>1375.5999999999997</v>
      </c>
      <c r="E46" s="64">
        <f>SUM('Data cleaning'!N46+'Data cleaning'!Q46+'Data cleaning'!AB46+'Data cleaning'!Z46)</f>
        <v>447.5</v>
      </c>
      <c r="F46" s="64">
        <f>SUM('Data cleaning'!R46+'Data cleaning'!S46+'Data cleaning'!T46)</f>
        <v>346.9</v>
      </c>
      <c r="G46" s="76">
        <f>SUM('Data cleaning'!U46+'Data cleaning'!W46)</f>
        <v>226.4</v>
      </c>
      <c r="H46" s="64">
        <v>112.5</v>
      </c>
      <c r="I46" s="64">
        <v>111.4</v>
      </c>
      <c r="J46" s="64">
        <v>112</v>
      </c>
      <c r="K46" s="64">
        <v>111.3</v>
      </c>
      <c r="L46" s="64">
        <v>114.2</v>
      </c>
      <c r="M46" s="64">
        <f>SUM('Data cleaning'!U46+'Data cleaning'!V46+'Data cleaning'!Y46+'Data cleaning'!AC46)</f>
        <v>448.40000000000003</v>
      </c>
    </row>
    <row r="47" spans="1:13">
      <c r="A47" s="64" t="s">
        <v>30</v>
      </c>
      <c r="B47" s="64">
        <v>2014</v>
      </c>
      <c r="C47" s="64" t="s">
        <v>37</v>
      </c>
      <c r="D47" s="64">
        <f>SUM('Data cleaning'!D47+'Data cleaning'!E47+'Data cleaning'!F47+'Data cleaning'!G47+'Data cleaning'!H47+'Data cleaning'!I47+'Data cleaning'!J47+'Data cleaning'!K47+'Data cleaning'!L47+'Data cleaning'!O47+'Data cleaning'!P47+'Data cleaning'!M47)</f>
        <v>1390.6000000000001</v>
      </c>
      <c r="E47" s="64">
        <f>SUM('Data cleaning'!N47+'Data cleaning'!Q47+'Data cleaning'!AB47+'Data cleaning'!Z47)</f>
        <v>448.3</v>
      </c>
      <c r="F47" s="64">
        <f>SUM('Data cleaning'!R47+'Data cleaning'!S47+'Data cleaning'!T47)</f>
        <v>352</v>
      </c>
      <c r="G47" s="76">
        <f>SUM('Data cleaning'!U47+'Data cleaning'!W47)</f>
        <v>227.60000000000002</v>
      </c>
      <c r="H47" s="64">
        <v>113.4</v>
      </c>
      <c r="I47" s="64">
        <v>111.2</v>
      </c>
      <c r="J47" s="64">
        <v>113</v>
      </c>
      <c r="K47" s="64">
        <v>111.5</v>
      </c>
      <c r="L47" s="64">
        <v>115.4</v>
      </c>
      <c r="M47" s="64">
        <f>SUM('Data cleaning'!U47+'Data cleaning'!V47+'Data cleaning'!Y47+'Data cleaning'!AC47)</f>
        <v>450</v>
      </c>
    </row>
    <row r="48" spans="1:13">
      <c r="A48" s="64" t="s">
        <v>33</v>
      </c>
      <c r="B48" s="64">
        <v>2014</v>
      </c>
      <c r="C48" s="64" t="s">
        <v>37</v>
      </c>
      <c r="D48" s="64">
        <f>SUM('Data cleaning'!D48+'Data cleaning'!E48+'Data cleaning'!F48+'Data cleaning'!G48+'Data cleaning'!H48+'Data cleaning'!I48+'Data cleaning'!J48+'Data cleaning'!K48+'Data cleaning'!L48+'Data cleaning'!O48+'Data cleaning'!P48+'Data cleaning'!M48)</f>
        <v>1391.3000000000002</v>
      </c>
      <c r="E48" s="64">
        <f>SUM('Data cleaning'!N48+'Data cleaning'!Q48+'Data cleaning'!AB48+'Data cleaning'!Z48)</f>
        <v>450.59999999999997</v>
      </c>
      <c r="F48" s="64">
        <f>SUM('Data cleaning'!R48+'Data cleaning'!S48+'Data cleaning'!T48)</f>
        <v>344.5</v>
      </c>
      <c r="G48" s="76">
        <f>SUM('Data cleaning'!U48+'Data cleaning'!W48)</f>
        <v>227.3</v>
      </c>
      <c r="H48" s="64">
        <v>110.9</v>
      </c>
      <c r="I48" s="64">
        <v>111.2</v>
      </c>
      <c r="J48" s="64">
        <v>112.5</v>
      </c>
      <c r="K48" s="64">
        <v>111.4</v>
      </c>
      <c r="L48" s="64">
        <v>114.7</v>
      </c>
      <c r="M48" s="64">
        <f>SUM('Data cleaning'!U48+'Data cleaning'!V48+'Data cleaning'!Y48+'Data cleaning'!AC48)</f>
        <v>447.4</v>
      </c>
    </row>
    <row r="49" spans="1:13">
      <c r="A49" s="64" t="s">
        <v>34</v>
      </c>
      <c r="B49" s="64">
        <v>2014</v>
      </c>
      <c r="C49" s="64" t="s">
        <v>37</v>
      </c>
      <c r="D49" s="64">
        <f>SUM('Data cleaning'!D49+'Data cleaning'!E49+'Data cleaning'!F49+'Data cleaning'!G49+'Data cleaning'!H49+'Data cleaning'!I49+'Data cleaning'!J49+'Data cleaning'!K49+'Data cleaning'!L49+'Data cleaning'!O49+'Data cleaning'!P49+'Data cleaning'!M49)</f>
        <v>1390.8999999999999</v>
      </c>
      <c r="E49" s="64">
        <f>SUM('Data cleaning'!N49+'Data cleaning'!Q49+'Data cleaning'!AB49+'Data cleaning'!Z49)</f>
        <v>449.1</v>
      </c>
      <c r="F49" s="64">
        <f>SUM('Data cleaning'!R49+'Data cleaning'!S49+'Data cleaning'!T49)</f>
        <v>349</v>
      </c>
      <c r="G49" s="76">
        <f>SUM('Data cleaning'!U49+'Data cleaning'!W49)</f>
        <v>227.5</v>
      </c>
      <c r="H49" s="64">
        <v>112.5</v>
      </c>
      <c r="I49" s="64">
        <v>111.2</v>
      </c>
      <c r="J49" s="64">
        <v>112.7</v>
      </c>
      <c r="K49" s="64">
        <v>111.5</v>
      </c>
      <c r="L49" s="64">
        <v>115.1</v>
      </c>
      <c r="M49" s="64">
        <f>SUM('Data cleaning'!U49+'Data cleaning'!V49+'Data cleaning'!Y49+'Data cleaning'!AC49)</f>
        <v>449.1</v>
      </c>
    </row>
    <row r="50" spans="1:13">
      <c r="A50" s="64" t="s">
        <v>30</v>
      </c>
      <c r="B50" s="64">
        <v>2014</v>
      </c>
      <c r="C50" s="64" t="s">
        <v>38</v>
      </c>
      <c r="D50" s="64">
        <f>SUM('Data cleaning'!D50+'Data cleaning'!E50+'Data cleaning'!F50+'Data cleaning'!G50+'Data cleaning'!H50+'Data cleaning'!I50+'Data cleaning'!J50+'Data cleaning'!K50+'Data cleaning'!L50+'Data cleaning'!O50+'Data cleaning'!P50+'Data cleaning'!M50)</f>
        <v>1399.6999999999998</v>
      </c>
      <c r="E50" s="64">
        <f>SUM('Data cleaning'!N50+'Data cleaning'!Q50+'Data cleaning'!AB50+'Data cleaning'!Z50)</f>
        <v>450.29999999999995</v>
      </c>
      <c r="F50" s="64">
        <f>SUM('Data cleaning'!R50+'Data cleaning'!S50+'Data cleaning'!T50)</f>
        <v>354</v>
      </c>
      <c r="G50" s="76">
        <f>SUM('Data cleaning'!U50+'Data cleaning'!W50)</f>
        <v>228.39999999999998</v>
      </c>
      <c r="H50" s="64">
        <v>113.4</v>
      </c>
      <c r="I50" s="64">
        <v>111.4</v>
      </c>
      <c r="J50" s="64">
        <v>113.1</v>
      </c>
      <c r="K50" s="64">
        <v>111.8</v>
      </c>
      <c r="L50" s="64">
        <v>116</v>
      </c>
      <c r="M50" s="64">
        <f>SUM('Data cleaning'!U50+'Data cleaning'!V50+'Data cleaning'!Y50+'Data cleaning'!AC50)</f>
        <v>450.90000000000003</v>
      </c>
    </row>
    <row r="51" spans="1:13">
      <c r="A51" s="64" t="s">
        <v>33</v>
      </c>
      <c r="B51" s="64">
        <v>2014</v>
      </c>
      <c r="C51" s="64" t="s">
        <v>38</v>
      </c>
      <c r="D51" s="64">
        <f>SUM('Data cleaning'!D51+'Data cleaning'!E51+'Data cleaning'!F51+'Data cleaning'!G51+'Data cleaning'!H51+'Data cleaning'!I51+'Data cleaning'!J51+'Data cleaning'!K51+'Data cleaning'!L51+'Data cleaning'!O51+'Data cleaning'!P51+'Data cleaning'!M51)</f>
        <v>1412.4</v>
      </c>
      <c r="E51" s="64">
        <f>SUM('Data cleaning'!N51+'Data cleaning'!Q51+'Data cleaning'!AB51+'Data cleaning'!Z51)</f>
        <v>452</v>
      </c>
      <c r="F51" s="64">
        <f>SUM('Data cleaning'!R51+'Data cleaning'!S51+'Data cleaning'!T51)</f>
        <v>345.9</v>
      </c>
      <c r="G51" s="76">
        <f>SUM('Data cleaning'!U51+'Data cleaning'!W51)</f>
        <v>228.39999999999998</v>
      </c>
      <c r="H51" s="64">
        <v>111.1</v>
      </c>
      <c r="I51" s="64">
        <v>111.3</v>
      </c>
      <c r="J51" s="64">
        <v>112.9</v>
      </c>
      <c r="K51" s="64">
        <v>111.7</v>
      </c>
      <c r="L51" s="64">
        <v>115.6</v>
      </c>
      <c r="M51" s="64">
        <f>SUM('Data cleaning'!U51+'Data cleaning'!V51+'Data cleaning'!Y51+'Data cleaning'!AC51)</f>
        <v>448.4</v>
      </c>
    </row>
    <row r="52" spans="1:13">
      <c r="A52" s="64" t="s">
        <v>34</v>
      </c>
      <c r="B52" s="64">
        <v>2014</v>
      </c>
      <c r="C52" s="64" t="s">
        <v>38</v>
      </c>
      <c r="D52" s="64">
        <f>SUM('Data cleaning'!D52+'Data cleaning'!E52+'Data cleaning'!F52+'Data cleaning'!G52+'Data cleaning'!H52+'Data cleaning'!I52+'Data cleaning'!J52+'Data cleaning'!K52+'Data cleaning'!L52+'Data cleaning'!O52+'Data cleaning'!P52+'Data cleaning'!M52)</f>
        <v>1404.8000000000004</v>
      </c>
      <c r="E52" s="64">
        <f>SUM('Data cleaning'!N52+'Data cleaning'!Q52+'Data cleaning'!AB52+'Data cleaning'!Z52)</f>
        <v>450.8</v>
      </c>
      <c r="F52" s="64">
        <f>SUM('Data cleaning'!R52+'Data cleaning'!S52+'Data cleaning'!T52)</f>
        <v>350.79999999999995</v>
      </c>
      <c r="G52" s="76">
        <f>SUM('Data cleaning'!U52+'Data cleaning'!W52)</f>
        <v>228.39999999999998</v>
      </c>
      <c r="H52" s="64">
        <v>112.5</v>
      </c>
      <c r="I52" s="64">
        <v>111.3</v>
      </c>
      <c r="J52" s="64">
        <v>113</v>
      </c>
      <c r="K52" s="64">
        <v>111.8</v>
      </c>
      <c r="L52" s="64">
        <v>115.8</v>
      </c>
      <c r="M52" s="64">
        <f>SUM('Data cleaning'!U52+'Data cleaning'!V52+'Data cleaning'!Y52+'Data cleaning'!AC52)</f>
        <v>449.90000000000003</v>
      </c>
    </row>
    <row r="53" spans="1:13">
      <c r="A53" s="64" t="s">
        <v>30</v>
      </c>
      <c r="B53" s="64">
        <v>2014</v>
      </c>
      <c r="C53" s="64" t="s">
        <v>39</v>
      </c>
      <c r="D53" s="64">
        <f>SUM('Data cleaning'!D53+'Data cleaning'!E53+'Data cleaning'!F53+'Data cleaning'!G53+'Data cleaning'!H53+'Data cleaning'!I53+'Data cleaning'!J53+'Data cleaning'!K53+'Data cleaning'!L53+'Data cleaning'!O53+'Data cleaning'!P53+'Data cleaning'!M53)</f>
        <v>1410.7999999999997</v>
      </c>
      <c r="E53" s="64">
        <f>SUM('Data cleaning'!N53+'Data cleaning'!Q53+'Data cleaning'!AB53+'Data cleaning'!Z53)</f>
        <v>451.6</v>
      </c>
      <c r="F53" s="64">
        <f>SUM('Data cleaning'!R53+'Data cleaning'!S53+'Data cleaning'!T53)</f>
        <v>356.3</v>
      </c>
      <c r="G53" s="76">
        <f>SUM('Data cleaning'!U53+'Data cleaning'!W53)</f>
        <v>228.8</v>
      </c>
      <c r="H53" s="64">
        <v>114.4</v>
      </c>
      <c r="I53" s="64">
        <v>112.2</v>
      </c>
      <c r="J53" s="64">
        <v>114.3</v>
      </c>
      <c r="K53" s="64">
        <v>112.3</v>
      </c>
      <c r="L53" s="64">
        <v>117</v>
      </c>
      <c r="M53" s="64">
        <f>SUM('Data cleaning'!U53+'Data cleaning'!V53+'Data cleaning'!Y53+'Data cleaning'!AC53)</f>
        <v>452.8</v>
      </c>
    </row>
    <row r="54" spans="1:13">
      <c r="A54" s="64" t="s">
        <v>33</v>
      </c>
      <c r="B54" s="64">
        <v>2014</v>
      </c>
      <c r="C54" s="64" t="s">
        <v>39</v>
      </c>
      <c r="D54" s="64">
        <f>SUM('Data cleaning'!D54+'Data cleaning'!E54+'Data cleaning'!F54+'Data cleaning'!G54+'Data cleaning'!H54+'Data cleaning'!I54+'Data cleaning'!J54+'Data cleaning'!K54+'Data cleaning'!L54+'Data cleaning'!O54+'Data cleaning'!P54+'Data cleaning'!M54)</f>
        <v>1433.8</v>
      </c>
      <c r="E54" s="64">
        <f>SUM('Data cleaning'!N54+'Data cleaning'!Q54+'Data cleaning'!AB54+'Data cleaning'!Z54)</f>
        <v>452.7</v>
      </c>
      <c r="F54" s="64">
        <f>SUM('Data cleaning'!R54+'Data cleaning'!S54+'Data cleaning'!T54)</f>
        <v>347.3</v>
      </c>
      <c r="G54" s="76">
        <f>SUM('Data cleaning'!U54+'Data cleaning'!W54)</f>
        <v>228.2</v>
      </c>
      <c r="H54" s="64">
        <v>111.2</v>
      </c>
      <c r="I54" s="64">
        <v>111.5</v>
      </c>
      <c r="J54" s="64">
        <v>115.1</v>
      </c>
      <c r="K54" s="64">
        <v>112.2</v>
      </c>
      <c r="L54" s="64">
        <v>116.4</v>
      </c>
      <c r="M54" s="64">
        <f>SUM('Data cleaning'!U54+'Data cleaning'!V54+'Data cleaning'!Y54+'Data cleaning'!AC54)</f>
        <v>448.8</v>
      </c>
    </row>
    <row r="55" spans="1:13">
      <c r="A55" s="64" t="s">
        <v>34</v>
      </c>
      <c r="B55" s="64">
        <v>2014</v>
      </c>
      <c r="C55" s="64" t="s">
        <v>39</v>
      </c>
      <c r="D55" s="64">
        <f>SUM('Data cleaning'!D55+'Data cleaning'!E55+'Data cleaning'!F55+'Data cleaning'!G55+'Data cleaning'!H55+'Data cleaning'!I55+'Data cleaning'!J55+'Data cleaning'!K55+'Data cleaning'!L55+'Data cleaning'!O55+'Data cleaning'!P55+'Data cleaning'!M55)</f>
        <v>1419.5000000000002</v>
      </c>
      <c r="E55" s="64">
        <f>SUM('Data cleaning'!N55+'Data cleaning'!Q55+'Data cleaning'!AB55+'Data cleaning'!Z55)</f>
        <v>451.9</v>
      </c>
      <c r="F55" s="64">
        <f>SUM('Data cleaning'!R55+'Data cleaning'!S55+'Data cleaning'!T55)</f>
        <v>352.7</v>
      </c>
      <c r="G55" s="76">
        <f>SUM('Data cleaning'!U55+'Data cleaning'!W55)</f>
        <v>228.5</v>
      </c>
      <c r="H55" s="64">
        <v>113.2</v>
      </c>
      <c r="I55" s="64">
        <v>111.8</v>
      </c>
      <c r="J55" s="64">
        <v>114.8</v>
      </c>
      <c r="K55" s="64">
        <v>112.3</v>
      </c>
      <c r="L55" s="64">
        <v>116.7</v>
      </c>
      <c r="M55" s="64">
        <f>SUM('Data cleaning'!U55+'Data cleaning'!V55+'Data cleaning'!Y55+'Data cleaning'!AC55)</f>
        <v>451.20000000000005</v>
      </c>
    </row>
    <row r="56" spans="1:13">
      <c r="A56" s="64" t="s">
        <v>30</v>
      </c>
      <c r="B56" s="64">
        <v>2014</v>
      </c>
      <c r="C56" s="64" t="s">
        <v>40</v>
      </c>
      <c r="D56" s="64">
        <f>SUM('Data cleaning'!D56+'Data cleaning'!E56+'Data cleaning'!F56+'Data cleaning'!G56+'Data cleaning'!H56+'Data cleaning'!I56+'Data cleaning'!J56+'Data cleaning'!K56+'Data cleaning'!L56+'Data cleaning'!O56+'Data cleaning'!P56+'Data cleaning'!M56)</f>
        <v>1447.6000000000001</v>
      </c>
      <c r="E56" s="64">
        <f>SUM('Data cleaning'!N56+'Data cleaning'!Q56+'Data cleaning'!AB56+'Data cleaning'!Z56)</f>
        <v>454.2</v>
      </c>
      <c r="F56" s="64">
        <f>SUM('Data cleaning'!R56+'Data cleaning'!S56+'Data cleaning'!T56)</f>
        <v>359.3</v>
      </c>
      <c r="G56" s="76">
        <f>SUM('Data cleaning'!U56+'Data cleaning'!W56)</f>
        <v>230.2</v>
      </c>
      <c r="H56" s="64">
        <v>115.3</v>
      </c>
      <c r="I56" s="64">
        <v>113.2</v>
      </c>
      <c r="J56" s="64">
        <v>115.5</v>
      </c>
      <c r="K56" s="64">
        <v>113.1</v>
      </c>
      <c r="L56" s="64">
        <v>119.5</v>
      </c>
      <c r="M56" s="64">
        <f>SUM('Data cleaning'!U56+'Data cleaning'!V56+'Data cleaning'!Y56+'Data cleaning'!AC56)</f>
        <v>456.4</v>
      </c>
    </row>
    <row r="57" spans="1:13">
      <c r="A57" s="64" t="s">
        <v>33</v>
      </c>
      <c r="B57" s="64">
        <v>2014</v>
      </c>
      <c r="C57" s="64" t="s">
        <v>40</v>
      </c>
      <c r="D57" s="64">
        <f>SUM('Data cleaning'!D57+'Data cleaning'!E57+'Data cleaning'!F57+'Data cleaning'!G57+'Data cleaning'!H57+'Data cleaning'!I57+'Data cleaning'!J57+'Data cleaning'!K57+'Data cleaning'!L57+'Data cleaning'!O57+'Data cleaning'!P57+'Data cleaning'!M57)</f>
        <v>1485.7</v>
      </c>
      <c r="E57" s="64">
        <f>SUM('Data cleaning'!N57+'Data cleaning'!Q57+'Data cleaning'!AB57+'Data cleaning'!Z57)</f>
        <v>456.9</v>
      </c>
      <c r="F57" s="64">
        <f>SUM('Data cleaning'!R57+'Data cleaning'!S57+'Data cleaning'!T57)</f>
        <v>349</v>
      </c>
      <c r="G57" s="76">
        <f>SUM('Data cleaning'!U57+'Data cleaning'!W57)</f>
        <v>229.7</v>
      </c>
      <c r="H57" s="64">
        <v>111.6</v>
      </c>
      <c r="I57" s="64">
        <v>113</v>
      </c>
      <c r="J57" s="64">
        <v>117.8</v>
      </c>
      <c r="K57" s="64">
        <v>113.5</v>
      </c>
      <c r="L57" s="64">
        <v>118.9</v>
      </c>
      <c r="M57" s="64">
        <f>SUM('Data cleaning'!U57+'Data cleaning'!V57+'Data cleaning'!Y57+'Data cleaning'!AC57)</f>
        <v>452.9</v>
      </c>
    </row>
    <row r="58" spans="1:13">
      <c r="A58" s="64" t="s">
        <v>34</v>
      </c>
      <c r="B58" s="64">
        <v>2014</v>
      </c>
      <c r="C58" s="64" t="s">
        <v>40</v>
      </c>
      <c r="D58" s="64">
        <f>SUM('Data cleaning'!D58+'Data cleaning'!E58+'Data cleaning'!F58+'Data cleaning'!G58+'Data cleaning'!H58+'Data cleaning'!I58+'Data cleaning'!J58+'Data cleaning'!K58+'Data cleaning'!L58+'Data cleaning'!O58+'Data cleaning'!P58+'Data cleaning'!M58)</f>
        <v>1461.5</v>
      </c>
      <c r="E58" s="64">
        <f>SUM('Data cleaning'!N58+'Data cleaning'!Q58+'Data cleaning'!AB58+'Data cleaning'!Z58)</f>
        <v>454.9</v>
      </c>
      <c r="F58" s="64">
        <f>SUM('Data cleaning'!R58+'Data cleaning'!S58+'Data cleaning'!T58)</f>
        <v>355</v>
      </c>
      <c r="G58" s="76">
        <f>SUM('Data cleaning'!U58+'Data cleaning'!W58)</f>
        <v>230</v>
      </c>
      <c r="H58" s="64">
        <v>113.9</v>
      </c>
      <c r="I58" s="64">
        <v>113.1</v>
      </c>
      <c r="J58" s="64">
        <v>116.8</v>
      </c>
      <c r="K58" s="64">
        <v>113.3</v>
      </c>
      <c r="L58" s="64">
        <v>119.2</v>
      </c>
      <c r="M58" s="64">
        <f>SUM('Data cleaning'!U58+'Data cleaning'!V58+'Data cleaning'!Y58+'Data cleaning'!AC58)</f>
        <v>455.09999999999997</v>
      </c>
    </row>
    <row r="59" spans="1:13">
      <c r="A59" s="64" t="s">
        <v>30</v>
      </c>
      <c r="B59" s="64">
        <v>2014</v>
      </c>
      <c r="C59" s="64" t="s">
        <v>41</v>
      </c>
      <c r="D59" s="64">
        <f>SUM('Data cleaning'!D59+'Data cleaning'!E59+'Data cleaning'!F59+'Data cleaning'!G59+'Data cleaning'!H59+'Data cleaning'!I59+'Data cleaning'!J59+'Data cleaning'!K59+'Data cleaning'!L59+'Data cleaning'!O59+'Data cleaning'!P59+'Data cleaning'!M59)</f>
        <v>1466.4999999999998</v>
      </c>
      <c r="E59" s="64">
        <f>SUM('Data cleaning'!N59+'Data cleaning'!Q59+'Data cleaning'!AB59+'Data cleaning'!Z59)</f>
        <v>456.2</v>
      </c>
      <c r="F59" s="64">
        <f>SUM('Data cleaning'!R59+'Data cleaning'!S59+'Data cleaning'!T59)</f>
        <v>360.4</v>
      </c>
      <c r="G59" s="76">
        <f>SUM('Data cleaning'!U59+'Data cleaning'!W59)</f>
        <v>231.4</v>
      </c>
      <c r="H59" s="64">
        <v>115.4</v>
      </c>
      <c r="I59" s="64">
        <v>113.2</v>
      </c>
      <c r="J59" s="64">
        <v>116.2</v>
      </c>
      <c r="K59" s="64">
        <v>113.5</v>
      </c>
      <c r="L59" s="64">
        <v>120.7</v>
      </c>
      <c r="M59" s="64">
        <f>SUM('Data cleaning'!U59+'Data cleaning'!V59+'Data cleaning'!Y59+'Data cleaning'!AC59)</f>
        <v>457.6</v>
      </c>
    </row>
    <row r="60" spans="1:13">
      <c r="A60" s="64" t="s">
        <v>33</v>
      </c>
      <c r="B60" s="64">
        <v>2014</v>
      </c>
      <c r="C60" s="64" t="s">
        <v>41</v>
      </c>
      <c r="D60" s="64">
        <f>SUM('Data cleaning'!D60+'Data cleaning'!E60+'Data cleaning'!F60+'Data cleaning'!G60+'Data cleaning'!H60+'Data cleaning'!I60+'Data cleaning'!J60+'Data cleaning'!K60+'Data cleaning'!L60+'Data cleaning'!O60+'Data cleaning'!P60+'Data cleaning'!M60)</f>
        <v>1502.6</v>
      </c>
      <c r="E60" s="64">
        <f>SUM('Data cleaning'!N60+'Data cleaning'!Q60+'Data cleaning'!AB60+'Data cleaning'!Z60)</f>
        <v>460.79999999999995</v>
      </c>
      <c r="F60" s="64">
        <f>SUM('Data cleaning'!R60+'Data cleaning'!S60+'Data cleaning'!T60)</f>
        <v>350.6</v>
      </c>
      <c r="G60" s="76">
        <f>SUM('Data cleaning'!U60+'Data cleaning'!W60)</f>
        <v>230.8</v>
      </c>
      <c r="H60" s="64">
        <v>111.8</v>
      </c>
      <c r="I60" s="64">
        <v>112.5</v>
      </c>
      <c r="J60" s="64">
        <v>119.2</v>
      </c>
      <c r="K60" s="64">
        <v>113.9</v>
      </c>
      <c r="L60" s="64">
        <v>119.9</v>
      </c>
      <c r="M60" s="64">
        <f>SUM('Data cleaning'!U60+'Data cleaning'!V60+'Data cleaning'!Y60+'Data cleaning'!AC60)</f>
        <v>453.70000000000005</v>
      </c>
    </row>
    <row r="61" spans="1:13">
      <c r="A61" s="64" t="s">
        <v>34</v>
      </c>
      <c r="B61" s="64">
        <v>2014</v>
      </c>
      <c r="C61" s="64" t="s">
        <v>41</v>
      </c>
      <c r="D61" s="64">
        <f>SUM('Data cleaning'!D61+'Data cleaning'!E61+'Data cleaning'!F61+'Data cleaning'!G61+'Data cleaning'!H61+'Data cleaning'!I61+'Data cleaning'!J61+'Data cleaning'!K61+'Data cleaning'!L61+'Data cleaning'!O61+'Data cleaning'!P61+'Data cleaning'!M61)</f>
        <v>1479.2999999999997</v>
      </c>
      <c r="E61" s="64">
        <f>SUM('Data cleaning'!N61+'Data cleaning'!Q61+'Data cleaning'!AB61+'Data cleaning'!Z61)</f>
        <v>457.6</v>
      </c>
      <c r="F61" s="64">
        <f>SUM('Data cleaning'!R61+'Data cleaning'!S61+'Data cleaning'!T61)</f>
        <v>356.4</v>
      </c>
      <c r="G61" s="76">
        <f>SUM('Data cleaning'!U61+'Data cleaning'!W61)</f>
        <v>231.1</v>
      </c>
      <c r="H61" s="64">
        <v>114</v>
      </c>
      <c r="I61" s="64">
        <v>112.8</v>
      </c>
      <c r="J61" s="64">
        <v>118</v>
      </c>
      <c r="K61" s="64">
        <v>113.7</v>
      </c>
      <c r="L61" s="64">
        <v>120.3</v>
      </c>
      <c r="M61" s="64">
        <f>SUM('Data cleaning'!U61+'Data cleaning'!V61+'Data cleaning'!Y61+'Data cleaning'!AC61)</f>
        <v>456</v>
      </c>
    </row>
    <row r="62" spans="1:13">
      <c r="A62" s="64" t="s">
        <v>30</v>
      </c>
      <c r="B62" s="64">
        <v>2014</v>
      </c>
      <c r="C62" s="64" t="s">
        <v>42</v>
      </c>
      <c r="D62" s="64">
        <f>SUM('Data cleaning'!D62+'Data cleaning'!E62+'Data cleaning'!F62+'Data cleaning'!G62+'Data cleaning'!H62+'Data cleaning'!I62+'Data cleaning'!J62+'Data cleaning'!K62+'Data cleaning'!L62+'Data cleaning'!O62+'Data cleaning'!P62+'Data cleaning'!M62)</f>
        <v>1466.7</v>
      </c>
      <c r="E62" s="64">
        <f>SUM('Data cleaning'!N62+'Data cleaning'!Q62+'Data cleaning'!AB62+'Data cleaning'!Z62)</f>
        <v>457.70000000000005</v>
      </c>
      <c r="F62" s="64">
        <f>SUM('Data cleaning'!R62+'Data cleaning'!S62+'Data cleaning'!T62)</f>
        <v>362.2</v>
      </c>
      <c r="G62" s="76">
        <f>SUM('Data cleaning'!U62+'Data cleaning'!W62)</f>
        <v>232.8</v>
      </c>
      <c r="H62" s="64">
        <v>115.8</v>
      </c>
      <c r="I62" s="64">
        <v>112.8</v>
      </c>
      <c r="J62" s="64">
        <v>116.6</v>
      </c>
      <c r="K62" s="64">
        <v>113.7</v>
      </c>
      <c r="L62" s="64">
        <v>120.9</v>
      </c>
      <c r="M62" s="64">
        <f>SUM('Data cleaning'!U62+'Data cleaning'!V62+'Data cleaning'!Y62+'Data cleaning'!AC62)</f>
        <v>458.4</v>
      </c>
    </row>
    <row r="63" spans="1:13">
      <c r="A63" s="64" t="s">
        <v>33</v>
      </c>
      <c r="B63" s="64">
        <v>2014</v>
      </c>
      <c r="C63" s="64" t="s">
        <v>42</v>
      </c>
      <c r="D63" s="64">
        <f>SUM('Data cleaning'!D63+'Data cleaning'!E63+'Data cleaning'!F63+'Data cleaning'!G63+'Data cleaning'!H63+'Data cleaning'!I63+'Data cleaning'!J63+'Data cleaning'!K63+'Data cleaning'!L63+'Data cleaning'!O63+'Data cleaning'!P63+'Data cleaning'!M63)</f>
        <v>1478.9000000000003</v>
      </c>
      <c r="E63" s="64">
        <f>SUM('Data cleaning'!N63+'Data cleaning'!Q63+'Data cleaning'!AB63+'Data cleaning'!Z63)</f>
        <v>462.5</v>
      </c>
      <c r="F63" s="64">
        <f>SUM('Data cleaning'!R63+'Data cleaning'!S63+'Data cleaning'!T63)</f>
        <v>352.1</v>
      </c>
      <c r="G63" s="76">
        <f>SUM('Data cleaning'!U63+'Data cleaning'!W63)</f>
        <v>231.6</v>
      </c>
      <c r="H63" s="64">
        <v>111.8</v>
      </c>
      <c r="I63" s="64">
        <v>111.2</v>
      </c>
      <c r="J63" s="64">
        <v>120</v>
      </c>
      <c r="K63" s="64">
        <v>113.6</v>
      </c>
      <c r="L63" s="64">
        <v>119.2</v>
      </c>
      <c r="M63" s="64">
        <f>SUM('Data cleaning'!U63+'Data cleaning'!V63+'Data cleaning'!Y63+'Data cleaning'!AC63)</f>
        <v>452.69999999999993</v>
      </c>
    </row>
    <row r="64" spans="1:13">
      <c r="A64" s="64" t="s">
        <v>34</v>
      </c>
      <c r="B64" s="64">
        <v>2014</v>
      </c>
      <c r="C64" s="64" t="s">
        <v>42</v>
      </c>
      <c r="D64" s="64">
        <f>SUM('Data cleaning'!D64+'Data cleaning'!E64+'Data cleaning'!F64+'Data cleaning'!G64+'Data cleaning'!H64+'Data cleaning'!I64+'Data cleaning'!J64+'Data cleaning'!K64+'Data cleaning'!L64+'Data cleaning'!O64+'Data cleaning'!P64+'Data cleaning'!M64)</f>
        <v>1470.2999999999997</v>
      </c>
      <c r="E64" s="64">
        <f>SUM('Data cleaning'!N64+'Data cleaning'!Q64+'Data cleaning'!AB64+'Data cleaning'!Z64)</f>
        <v>459.20000000000005</v>
      </c>
      <c r="F64" s="64">
        <f>SUM('Data cleaning'!R64+'Data cleaning'!S64+'Data cleaning'!T64)</f>
        <v>358</v>
      </c>
      <c r="G64" s="76">
        <f>SUM('Data cleaning'!U64+'Data cleaning'!W64)</f>
        <v>232.2</v>
      </c>
      <c r="H64" s="64">
        <v>114.3</v>
      </c>
      <c r="I64" s="64">
        <v>112</v>
      </c>
      <c r="J64" s="64">
        <v>118.6</v>
      </c>
      <c r="K64" s="64">
        <v>113.7</v>
      </c>
      <c r="L64" s="64">
        <v>120.1</v>
      </c>
      <c r="M64" s="64">
        <f>SUM('Data cleaning'!U64+'Data cleaning'!V64+'Data cleaning'!Y64+'Data cleaning'!AC64)</f>
        <v>456.09999999999997</v>
      </c>
    </row>
    <row r="65" spans="1:13">
      <c r="A65" s="64" t="s">
        <v>30</v>
      </c>
      <c r="B65" s="64">
        <v>2014</v>
      </c>
      <c r="C65" s="64" t="s">
        <v>43</v>
      </c>
      <c r="D65" s="64">
        <f>SUM('Data cleaning'!D65+'Data cleaning'!E65+'Data cleaning'!F65+'Data cleaning'!G65+'Data cleaning'!H65+'Data cleaning'!I65+'Data cleaning'!J65+'Data cleaning'!K65+'Data cleaning'!L65+'Data cleaning'!O65+'Data cleaning'!P65+'Data cleaning'!M65)</f>
        <v>1464.3999999999999</v>
      </c>
      <c r="E65" s="64">
        <f>SUM('Data cleaning'!N65+'Data cleaning'!Q65+'Data cleaning'!AB65+'Data cleaning'!Z65)</f>
        <v>459.1</v>
      </c>
      <c r="F65" s="64">
        <f>SUM('Data cleaning'!R65+'Data cleaning'!S65+'Data cleaning'!T65)</f>
        <v>365.3</v>
      </c>
      <c r="G65" s="76">
        <f>SUM('Data cleaning'!U65+'Data cleaning'!W65)</f>
        <v>234.2</v>
      </c>
      <c r="H65" s="64">
        <v>116.4</v>
      </c>
      <c r="I65" s="64">
        <v>112.6</v>
      </c>
      <c r="J65" s="64">
        <v>116.9</v>
      </c>
      <c r="K65" s="64">
        <v>114</v>
      </c>
      <c r="L65" s="64">
        <v>121</v>
      </c>
      <c r="M65" s="64">
        <f>SUM('Data cleaning'!U65+'Data cleaning'!V65+'Data cleaning'!Y65+'Data cleaning'!AC65)</f>
        <v>459.70000000000005</v>
      </c>
    </row>
    <row r="66" spans="1:13">
      <c r="A66" s="64" t="s">
        <v>33</v>
      </c>
      <c r="B66" s="64">
        <v>2014</v>
      </c>
      <c r="C66" s="64" t="s">
        <v>43</v>
      </c>
      <c r="D66" s="64">
        <f>SUM('Data cleaning'!D66+'Data cleaning'!E66+'Data cleaning'!F66+'Data cleaning'!G66+'Data cleaning'!H66+'Data cleaning'!I66+'Data cleaning'!J66+'Data cleaning'!K66+'Data cleaning'!L66+'Data cleaning'!O66+'Data cleaning'!P66+'Data cleaning'!M66)</f>
        <v>1472.3</v>
      </c>
      <c r="E66" s="64">
        <f>SUM('Data cleaning'!N66+'Data cleaning'!Q66+'Data cleaning'!AB66+'Data cleaning'!Z66)</f>
        <v>463.20000000000005</v>
      </c>
      <c r="F66" s="64">
        <f>SUM('Data cleaning'!R66+'Data cleaning'!S66+'Data cleaning'!T66)</f>
        <v>353.4</v>
      </c>
      <c r="G66" s="76">
        <f>SUM('Data cleaning'!U66+'Data cleaning'!W66)</f>
        <v>232.5</v>
      </c>
      <c r="H66" s="64">
        <v>112</v>
      </c>
      <c r="I66" s="64">
        <v>111</v>
      </c>
      <c r="J66" s="64">
        <v>120.2</v>
      </c>
      <c r="K66" s="64">
        <v>113.7</v>
      </c>
      <c r="L66" s="64">
        <v>119.1</v>
      </c>
      <c r="M66" s="64">
        <f>SUM('Data cleaning'!U66+'Data cleaning'!V66+'Data cleaning'!Y66+'Data cleaning'!AC66)</f>
        <v>453.4</v>
      </c>
    </row>
    <row r="67" spans="1:13">
      <c r="A67" s="64" t="s">
        <v>34</v>
      </c>
      <c r="B67" s="64">
        <v>2014</v>
      </c>
      <c r="C67" s="64" t="s">
        <v>43</v>
      </c>
      <c r="D67" s="64">
        <f>SUM('Data cleaning'!D67+'Data cleaning'!E67+'Data cleaning'!F67+'Data cleaning'!G67+'Data cleaning'!H67+'Data cleaning'!I67+'Data cleaning'!J67+'Data cleaning'!K67+'Data cleaning'!L67+'Data cleaning'!O67+'Data cleaning'!P67+'Data cleaning'!M67)</f>
        <v>1466.6000000000001</v>
      </c>
      <c r="E67" s="64">
        <f>SUM('Data cleaning'!N67+'Data cleaning'!Q67+'Data cleaning'!AB67+'Data cleaning'!Z67)</f>
        <v>460.09999999999997</v>
      </c>
      <c r="F67" s="64">
        <f>SUM('Data cleaning'!R67+'Data cleaning'!S67+'Data cleaning'!T67)</f>
        <v>360.6</v>
      </c>
      <c r="G67" s="76">
        <f>SUM('Data cleaning'!U67+'Data cleaning'!W67)</f>
        <v>233.4</v>
      </c>
      <c r="H67" s="64">
        <v>114.7</v>
      </c>
      <c r="I67" s="64">
        <v>111.8</v>
      </c>
      <c r="J67" s="64">
        <v>118.8</v>
      </c>
      <c r="K67" s="64">
        <v>113.9</v>
      </c>
      <c r="L67" s="64">
        <v>120.1</v>
      </c>
      <c r="M67" s="64">
        <f>SUM('Data cleaning'!U67+'Data cleaning'!V67+'Data cleaning'!Y67+'Data cleaning'!AC67)</f>
        <v>457.1</v>
      </c>
    </row>
    <row r="68" spans="1:13">
      <c r="A68" s="64" t="s">
        <v>30</v>
      </c>
      <c r="B68" s="64">
        <v>2014</v>
      </c>
      <c r="C68" s="64" t="s">
        <v>45</v>
      </c>
      <c r="D68" s="64">
        <f>SUM('Data cleaning'!D68+'Data cleaning'!E68+'Data cleaning'!F68+'Data cleaning'!G68+'Data cleaning'!H68+'Data cleaning'!I68+'Data cleaning'!J68+'Data cleaning'!K68+'Data cleaning'!L68+'Data cleaning'!O68+'Data cleaning'!P68+'Data cleaning'!M68)</f>
        <v>1465.2</v>
      </c>
      <c r="E68" s="64">
        <f>SUM('Data cleaning'!N68+'Data cleaning'!Q68+'Data cleaning'!AB68+'Data cleaning'!Z68)</f>
        <v>459.7</v>
      </c>
      <c r="F68" s="64">
        <f>SUM('Data cleaning'!R68+'Data cleaning'!S68+'Data cleaning'!T68)</f>
        <v>366.70000000000005</v>
      </c>
      <c r="G68" s="76">
        <f>SUM('Data cleaning'!U68+'Data cleaning'!W68)</f>
        <v>235.2</v>
      </c>
      <c r="H68" s="64">
        <v>117.3</v>
      </c>
      <c r="I68" s="64">
        <v>112</v>
      </c>
      <c r="J68" s="64">
        <v>117.2</v>
      </c>
      <c r="K68" s="64">
        <v>114.1</v>
      </c>
      <c r="L68" s="64">
        <v>121.1</v>
      </c>
      <c r="M68" s="64">
        <f>SUM('Data cleaning'!U68+'Data cleaning'!V68+'Data cleaning'!Y68+'Data cleaning'!AC68)</f>
        <v>460.5</v>
      </c>
    </row>
    <row r="69" spans="1:13">
      <c r="A69" s="64" t="s">
        <v>33</v>
      </c>
      <c r="B69" s="64">
        <v>2014</v>
      </c>
      <c r="C69" s="64" t="s">
        <v>45</v>
      </c>
      <c r="D69" s="64">
        <f>SUM('Data cleaning'!D69+'Data cleaning'!E69+'Data cleaning'!F69+'Data cleaning'!G69+'Data cleaning'!H69+'Data cleaning'!I69+'Data cleaning'!J69+'Data cleaning'!K69+'Data cleaning'!L69+'Data cleaning'!O69+'Data cleaning'!P69+'Data cleaning'!M69)</f>
        <v>1472</v>
      </c>
      <c r="E69" s="64">
        <f>SUM('Data cleaning'!N69+'Data cleaning'!Q69+'Data cleaning'!AB69+'Data cleaning'!Z69)</f>
        <v>465.2</v>
      </c>
      <c r="F69" s="64">
        <f>SUM('Data cleaning'!R69+'Data cleaning'!S69+'Data cleaning'!T69)</f>
        <v>355.2</v>
      </c>
      <c r="G69" s="76">
        <f>SUM('Data cleaning'!U69+'Data cleaning'!W69)</f>
        <v>233.5</v>
      </c>
      <c r="H69" s="64">
        <v>112.6</v>
      </c>
      <c r="I69" s="64">
        <v>109.7</v>
      </c>
      <c r="J69" s="64">
        <v>120.3</v>
      </c>
      <c r="K69" s="64">
        <v>113.4</v>
      </c>
      <c r="L69" s="64">
        <v>119</v>
      </c>
      <c r="M69" s="64">
        <f>SUM('Data cleaning'!U69+'Data cleaning'!V69+'Data cleaning'!Y69+'Data cleaning'!AC69)</f>
        <v>452.79999999999995</v>
      </c>
    </row>
    <row r="70" spans="1:13">
      <c r="A70" s="64" t="s">
        <v>34</v>
      </c>
      <c r="B70" s="64">
        <v>2014</v>
      </c>
      <c r="C70" s="64" t="s">
        <v>45</v>
      </c>
      <c r="D70" s="64">
        <f>SUM('Data cleaning'!D70+'Data cleaning'!E70+'Data cleaning'!F70+'Data cleaning'!G70+'Data cleaning'!H70+'Data cleaning'!I70+'Data cleaning'!J70+'Data cleaning'!K70+'Data cleaning'!L70+'Data cleaning'!O70+'Data cleaning'!P70+'Data cleaning'!M70)</f>
        <v>1466.8</v>
      </c>
      <c r="E70" s="64">
        <f>SUM('Data cleaning'!N70+'Data cleaning'!Q70+'Data cleaning'!AB70+'Data cleaning'!Z70)</f>
        <v>461.3</v>
      </c>
      <c r="F70" s="64">
        <f>SUM('Data cleaning'!R70+'Data cleaning'!S70+'Data cleaning'!T70)</f>
        <v>362.1</v>
      </c>
      <c r="G70" s="76">
        <f>SUM('Data cleaning'!U70+'Data cleaning'!W70)</f>
        <v>234.39999999999998</v>
      </c>
      <c r="H70" s="64">
        <v>115.5</v>
      </c>
      <c r="I70" s="64">
        <v>110.8</v>
      </c>
      <c r="J70" s="64">
        <v>119</v>
      </c>
      <c r="K70" s="64">
        <v>113.8</v>
      </c>
      <c r="L70" s="64">
        <v>120.1</v>
      </c>
      <c r="M70" s="64">
        <f>SUM('Data cleaning'!U70+'Data cleaning'!V70+'Data cleaning'!Y70+'Data cleaning'!AC70)</f>
        <v>457.2</v>
      </c>
    </row>
    <row r="71" spans="1:13">
      <c r="A71" s="64" t="s">
        <v>30</v>
      </c>
      <c r="B71" s="64">
        <v>2014</v>
      </c>
      <c r="C71" s="64" t="s">
        <v>46</v>
      </c>
      <c r="D71" s="64">
        <f>SUM('Data cleaning'!D71+'Data cleaning'!E71+'Data cleaning'!F71+'Data cleaning'!G71+'Data cleaning'!H71+'Data cleaning'!I71+'Data cleaning'!J71+'Data cleaning'!K71+'Data cleaning'!L71+'Data cleaning'!O71+'Data cleaning'!P71+'Data cleaning'!M71)</f>
        <v>1452.3</v>
      </c>
      <c r="E71" s="64">
        <f>SUM('Data cleaning'!N71+'Data cleaning'!Q71+'Data cleaning'!AB71+'Data cleaning'!Z71)</f>
        <v>461.7</v>
      </c>
      <c r="F71" s="64">
        <f>SUM('Data cleaning'!R71+'Data cleaning'!S71+'Data cleaning'!T71)</f>
        <v>367.7</v>
      </c>
      <c r="G71" s="76">
        <f>SUM('Data cleaning'!U71+'Data cleaning'!W71)</f>
        <v>234.7</v>
      </c>
      <c r="H71" s="64">
        <v>117.4</v>
      </c>
      <c r="I71" s="64">
        <v>111.5</v>
      </c>
      <c r="J71" s="64">
        <v>117.7</v>
      </c>
      <c r="K71" s="64">
        <v>114.2</v>
      </c>
      <c r="L71" s="64">
        <v>120.3</v>
      </c>
      <c r="M71" s="64">
        <f>SUM('Data cleaning'!U71+'Data cleaning'!V71+'Data cleaning'!Y71+'Data cleaning'!AC71)</f>
        <v>459.59999999999997</v>
      </c>
    </row>
    <row r="72" spans="1:13">
      <c r="A72" s="64" t="s">
        <v>33</v>
      </c>
      <c r="B72" s="64">
        <v>2014</v>
      </c>
      <c r="C72" s="64" t="s">
        <v>46</v>
      </c>
      <c r="D72" s="64">
        <f>SUM('Data cleaning'!D72+'Data cleaning'!E72+'Data cleaning'!F72+'Data cleaning'!G72+'Data cleaning'!H72+'Data cleaning'!I72+'Data cleaning'!J72+'Data cleaning'!K72+'Data cleaning'!L72+'Data cleaning'!O72+'Data cleaning'!P72+'Data cleaning'!M72)</f>
        <v>1461.1</v>
      </c>
      <c r="E72" s="64">
        <f>SUM('Data cleaning'!N72+'Data cleaning'!Q72+'Data cleaning'!AB72+'Data cleaning'!Z72)</f>
        <v>467.2</v>
      </c>
      <c r="F72" s="64">
        <f>SUM('Data cleaning'!R72+'Data cleaning'!S72+'Data cleaning'!T72)</f>
        <v>356.5</v>
      </c>
      <c r="G72" s="76">
        <f>SUM('Data cleaning'!U72+'Data cleaning'!W72)</f>
        <v>233.3</v>
      </c>
      <c r="H72" s="64">
        <v>113</v>
      </c>
      <c r="I72" s="64">
        <v>108.8</v>
      </c>
      <c r="J72" s="64">
        <v>120.7</v>
      </c>
      <c r="K72" s="64">
        <v>113.4</v>
      </c>
      <c r="L72" s="64">
        <v>118.4</v>
      </c>
      <c r="M72" s="64">
        <f>SUM('Data cleaning'!U72+'Data cleaning'!V72+'Data cleaning'!Y72+'Data cleaning'!AC72)</f>
        <v>451.70000000000005</v>
      </c>
    </row>
    <row r="73" spans="1:13">
      <c r="A73" s="64" t="s">
        <v>34</v>
      </c>
      <c r="B73" s="64">
        <v>2014</v>
      </c>
      <c r="C73" s="64" t="s">
        <v>46</v>
      </c>
      <c r="D73" s="64">
        <f>SUM('Data cleaning'!D73+'Data cleaning'!E73+'Data cleaning'!F73+'Data cleaning'!G73+'Data cleaning'!H73+'Data cleaning'!I73+'Data cleaning'!J73+'Data cleaning'!K73+'Data cleaning'!L73+'Data cleaning'!O73+'Data cleaning'!P73+'Data cleaning'!M73)</f>
        <v>1454.8999999999999</v>
      </c>
      <c r="E73" s="64">
        <f>SUM('Data cleaning'!N73+'Data cleaning'!Q73+'Data cleaning'!AB73+'Data cleaning'!Z73)</f>
        <v>463.5</v>
      </c>
      <c r="F73" s="64">
        <f>SUM('Data cleaning'!R73+'Data cleaning'!S73+'Data cleaning'!T73)</f>
        <v>363.2</v>
      </c>
      <c r="G73" s="76">
        <f>SUM('Data cleaning'!U73+'Data cleaning'!W73)</f>
        <v>234</v>
      </c>
      <c r="H73" s="64">
        <v>115.7</v>
      </c>
      <c r="I73" s="64">
        <v>110.1</v>
      </c>
      <c r="J73" s="64">
        <v>119.5</v>
      </c>
      <c r="K73" s="64">
        <v>113.8</v>
      </c>
      <c r="L73" s="64">
        <v>119.4</v>
      </c>
      <c r="M73" s="64">
        <f>SUM('Data cleaning'!U73+'Data cleaning'!V73+'Data cleaning'!Y73+'Data cleaning'!AC73)</f>
        <v>456.09999999999997</v>
      </c>
    </row>
    <row r="74" spans="1:13">
      <c r="A74" s="64" t="s">
        <v>30</v>
      </c>
      <c r="B74" s="64">
        <v>2015</v>
      </c>
      <c r="C74" s="64" t="s">
        <v>31</v>
      </c>
      <c r="D74" s="64">
        <f>SUM('Data cleaning'!D74+'Data cleaning'!E74+'Data cleaning'!F74+'Data cleaning'!G74+'Data cleaning'!H74+'Data cleaning'!I74+'Data cleaning'!J74+'Data cleaning'!K74+'Data cleaning'!L74+'Data cleaning'!O74+'Data cleaning'!P74+'Data cleaning'!M74)</f>
        <v>1450.1999999999998</v>
      </c>
      <c r="E74" s="64">
        <f>SUM('Data cleaning'!N74+'Data cleaning'!Q74+'Data cleaning'!AB74+'Data cleaning'!Z74)</f>
        <v>464.8</v>
      </c>
      <c r="F74" s="64">
        <f>SUM('Data cleaning'!R74+'Data cleaning'!S74+'Data cleaning'!T74)</f>
        <v>370</v>
      </c>
      <c r="G74" s="76">
        <f>SUM('Data cleaning'!U74+'Data cleaning'!W74)</f>
        <v>236.2</v>
      </c>
      <c r="H74" s="64">
        <v>118.4</v>
      </c>
      <c r="I74" s="64">
        <v>111</v>
      </c>
      <c r="J74" s="64">
        <v>118.2</v>
      </c>
      <c r="K74" s="64">
        <v>114.5</v>
      </c>
      <c r="L74" s="64">
        <v>120.3</v>
      </c>
      <c r="M74" s="64">
        <f>SUM('Data cleaning'!U74+'Data cleaning'!V74+'Data cleaning'!Y74+'Data cleaning'!AC74)</f>
        <v>461.2</v>
      </c>
    </row>
    <row r="75" spans="1:13">
      <c r="A75" s="64" t="s">
        <v>33</v>
      </c>
      <c r="B75" s="64">
        <v>2015</v>
      </c>
      <c r="C75" s="64" t="s">
        <v>31</v>
      </c>
      <c r="D75" s="64">
        <f>SUM('Data cleaning'!D75+'Data cleaning'!E75+'Data cleaning'!F75+'Data cleaning'!G75+'Data cleaning'!H75+'Data cleaning'!I75+'Data cleaning'!J75+'Data cleaning'!K75+'Data cleaning'!L75+'Data cleaning'!O75+'Data cleaning'!P75+'Data cleaning'!M75)</f>
        <v>1458.3999999999999</v>
      </c>
      <c r="E75" s="64">
        <f>SUM('Data cleaning'!N75+'Data cleaning'!Q75+'Data cleaning'!AB75+'Data cleaning'!Z75)</f>
        <v>469.9</v>
      </c>
      <c r="F75" s="64">
        <f>SUM('Data cleaning'!R75+'Data cleaning'!S75+'Data cleaning'!T75)</f>
        <v>357.3</v>
      </c>
      <c r="G75" s="76">
        <f>SUM('Data cleaning'!U75+'Data cleaning'!W75)</f>
        <v>234.5</v>
      </c>
      <c r="H75" s="64">
        <v>113.4</v>
      </c>
      <c r="I75" s="64">
        <v>107.9</v>
      </c>
      <c r="J75" s="64">
        <v>120.8</v>
      </c>
      <c r="K75" s="64">
        <v>113.4</v>
      </c>
      <c r="L75" s="64">
        <v>118.5</v>
      </c>
      <c r="M75" s="64">
        <f>SUM('Data cleaning'!U75+'Data cleaning'!V75+'Data cleaning'!Y75+'Data cleaning'!AC75)</f>
        <v>452</v>
      </c>
    </row>
    <row r="76" spans="1:13">
      <c r="A76" s="64" t="s">
        <v>34</v>
      </c>
      <c r="B76" s="64">
        <v>2015</v>
      </c>
      <c r="C76" s="64" t="s">
        <v>31</v>
      </c>
      <c r="D76" s="64">
        <f>SUM('Data cleaning'!D76+'Data cleaning'!E76+'Data cleaning'!F76+'Data cleaning'!G76+'Data cleaning'!H76+'Data cleaning'!I76+'Data cleaning'!J76+'Data cleaning'!K76+'Data cleaning'!L76+'Data cleaning'!O76+'Data cleaning'!P76+'Data cleaning'!M76)</f>
        <v>1452</v>
      </c>
      <c r="E76" s="64">
        <f>SUM('Data cleaning'!N76+'Data cleaning'!Q76+'Data cleaning'!AB76+'Data cleaning'!Z76)</f>
        <v>466.3</v>
      </c>
      <c r="F76" s="64">
        <f>SUM('Data cleaning'!R76+'Data cleaning'!S76+'Data cleaning'!T76)</f>
        <v>364.9</v>
      </c>
      <c r="G76" s="76">
        <f>SUM('Data cleaning'!U76+'Data cleaning'!W76)</f>
        <v>235.39999999999998</v>
      </c>
      <c r="H76" s="64">
        <v>116.5</v>
      </c>
      <c r="I76" s="64">
        <v>109.4</v>
      </c>
      <c r="J76" s="64">
        <v>119.7</v>
      </c>
      <c r="K76" s="64">
        <v>114</v>
      </c>
      <c r="L76" s="64">
        <v>119.5</v>
      </c>
      <c r="M76" s="64">
        <f>SUM('Data cleaning'!U76+'Data cleaning'!V76+'Data cleaning'!Y76+'Data cleaning'!AC76)</f>
        <v>457.20000000000005</v>
      </c>
    </row>
    <row r="77" spans="1:13">
      <c r="A77" s="64" t="s">
        <v>30</v>
      </c>
      <c r="B77" s="64">
        <v>2015</v>
      </c>
      <c r="C77" s="64" t="s">
        <v>35</v>
      </c>
      <c r="D77" s="64">
        <f>SUM('Data cleaning'!D77+'Data cleaning'!E77+'Data cleaning'!F77+'Data cleaning'!G77+'Data cleaning'!H77+'Data cleaning'!I77+'Data cleaning'!J77+'Data cleaning'!K77+'Data cleaning'!L77+'Data cleaning'!O77+'Data cleaning'!P77+'Data cleaning'!M77)</f>
        <v>1451.7999999999997</v>
      </c>
      <c r="E77" s="64">
        <f>SUM('Data cleaning'!N77+'Data cleaning'!Q77+'Data cleaning'!AB77+'Data cleaning'!Z77)</f>
        <v>468.6</v>
      </c>
      <c r="F77" s="64">
        <f>SUM('Data cleaning'!R77+'Data cleaning'!S77+'Data cleaning'!T77)</f>
        <v>373.1</v>
      </c>
      <c r="G77" s="76">
        <f>SUM('Data cleaning'!U77+'Data cleaning'!W77)</f>
        <v>237.7</v>
      </c>
      <c r="H77" s="64">
        <v>120</v>
      </c>
      <c r="I77" s="64">
        <v>110.9</v>
      </c>
      <c r="J77" s="64">
        <v>118.7</v>
      </c>
      <c r="K77" s="64">
        <v>115</v>
      </c>
      <c r="L77" s="64">
        <v>120.6</v>
      </c>
      <c r="M77" s="64">
        <f>SUM('Data cleaning'!U77+'Data cleaning'!V77+'Data cleaning'!Y77+'Data cleaning'!AC77)</f>
        <v>464</v>
      </c>
    </row>
    <row r="78" spans="1:13">
      <c r="A78" s="64" t="s">
        <v>33</v>
      </c>
      <c r="B78" s="64">
        <v>2015</v>
      </c>
      <c r="C78" s="64" t="s">
        <v>35</v>
      </c>
      <c r="D78" s="64">
        <f>SUM('Data cleaning'!D78+'Data cleaning'!E78+'Data cleaning'!F78+'Data cleaning'!G78+'Data cleaning'!H78+'Data cleaning'!I78+'Data cleaning'!J78+'Data cleaning'!K78+'Data cleaning'!L78+'Data cleaning'!O78+'Data cleaning'!P78+'Data cleaning'!M78)</f>
        <v>1454.3000000000002</v>
      </c>
      <c r="E78" s="64">
        <f>SUM('Data cleaning'!N78+'Data cleaning'!Q78+'Data cleaning'!AB78+'Data cleaning'!Z78)</f>
        <v>471.5</v>
      </c>
      <c r="F78" s="64">
        <f>SUM('Data cleaning'!R78+'Data cleaning'!S78+'Data cleaning'!T78)</f>
        <v>358.4</v>
      </c>
      <c r="G78" s="76">
        <f>SUM('Data cleaning'!U78+'Data cleaning'!W78)</f>
        <v>235.8</v>
      </c>
      <c r="H78" s="64">
        <v>114</v>
      </c>
      <c r="I78" s="64">
        <v>106.8</v>
      </c>
      <c r="J78" s="64">
        <v>120.4</v>
      </c>
      <c r="K78" s="64">
        <v>113.2</v>
      </c>
      <c r="L78" s="64">
        <v>118.7</v>
      </c>
      <c r="M78" s="64">
        <f>SUM('Data cleaning'!U78+'Data cleaning'!V78+'Data cleaning'!Y78+'Data cleaning'!AC78)</f>
        <v>452.09999999999997</v>
      </c>
    </row>
    <row r="79" spans="1:13">
      <c r="A79" s="64" t="s">
        <v>34</v>
      </c>
      <c r="B79" s="64">
        <v>2015</v>
      </c>
      <c r="C79" s="64" t="s">
        <v>35</v>
      </c>
      <c r="D79" s="64">
        <f>SUM('Data cleaning'!D79+'Data cleaning'!E79+'Data cleaning'!F79+'Data cleaning'!G79+'Data cleaning'!H79+'Data cleaning'!I79+'Data cleaning'!J79+'Data cleaning'!K79+'Data cleaning'!L79+'Data cleaning'!O79+'Data cleaning'!P79+'Data cleaning'!M79)</f>
        <v>1451.3999999999996</v>
      </c>
      <c r="E79" s="64">
        <f>SUM('Data cleaning'!N79+'Data cleaning'!Q79+'Data cleaning'!AB79+'Data cleaning'!Z79)</f>
        <v>469.29999999999995</v>
      </c>
      <c r="F79" s="64">
        <f>SUM('Data cleaning'!R79+'Data cleaning'!S79+'Data cleaning'!T79)</f>
        <v>367.2</v>
      </c>
      <c r="G79" s="76">
        <f>SUM('Data cleaning'!U79+'Data cleaning'!W79)</f>
        <v>236.8</v>
      </c>
      <c r="H79" s="64">
        <v>117.7</v>
      </c>
      <c r="I79" s="64">
        <v>108.7</v>
      </c>
      <c r="J79" s="64">
        <v>119.7</v>
      </c>
      <c r="K79" s="64">
        <v>114.1</v>
      </c>
      <c r="L79" s="64">
        <v>119.7</v>
      </c>
      <c r="M79" s="64">
        <f>SUM('Data cleaning'!U79+'Data cleaning'!V79+'Data cleaning'!Y79+'Data cleaning'!AC79)</f>
        <v>458.6</v>
      </c>
    </row>
    <row r="80" spans="1:13">
      <c r="A80" s="64" t="s">
        <v>30</v>
      </c>
      <c r="B80" s="64">
        <v>2015</v>
      </c>
      <c r="C80" s="64" t="s">
        <v>36</v>
      </c>
      <c r="D80" s="64">
        <f>SUM('Data cleaning'!D80+'Data cleaning'!E80+'Data cleaning'!F80+'Data cleaning'!G80+'Data cleaning'!H80+'Data cleaning'!I80+'Data cleaning'!J80+'Data cleaning'!K80+'Data cleaning'!L80+'Data cleaning'!O80+'Data cleaning'!P80+'Data cleaning'!M80)</f>
        <v>1452.6</v>
      </c>
      <c r="E80" s="64">
        <f>SUM('Data cleaning'!N80+'Data cleaning'!Q80+'Data cleaning'!AB80+'Data cleaning'!Z80)</f>
        <v>469.90000000000003</v>
      </c>
      <c r="F80" s="64">
        <f>SUM('Data cleaning'!R80+'Data cleaning'!S80+'Data cleaning'!T80)</f>
        <v>374.4</v>
      </c>
      <c r="G80" s="76">
        <f>SUM('Data cleaning'!U80+'Data cleaning'!W80)</f>
        <v>238.8</v>
      </c>
      <c r="H80" s="64">
        <v>120.6</v>
      </c>
      <c r="I80" s="64">
        <v>111.6</v>
      </c>
      <c r="J80" s="64">
        <v>119.4</v>
      </c>
      <c r="K80" s="64">
        <v>115.5</v>
      </c>
      <c r="L80" s="64">
        <v>121.1</v>
      </c>
      <c r="M80" s="64">
        <f>SUM('Data cleaning'!U80+'Data cleaning'!V80+'Data cleaning'!Y80+'Data cleaning'!AC80)</f>
        <v>466.29999999999995</v>
      </c>
    </row>
    <row r="81" spans="1:13">
      <c r="A81" s="64" t="s">
        <v>33</v>
      </c>
      <c r="B81" s="64">
        <v>2015</v>
      </c>
      <c r="C81" s="64" t="s">
        <v>36</v>
      </c>
      <c r="D81" s="64">
        <f>SUM('Data cleaning'!D81+'Data cleaning'!E81+'Data cleaning'!F81+'Data cleaning'!G81+'Data cleaning'!H81+'Data cleaning'!I81+'Data cleaning'!J81+'Data cleaning'!K81+'Data cleaning'!L81+'Data cleaning'!O81+'Data cleaning'!P81+'Data cleaning'!M81)</f>
        <v>1451.0000000000002</v>
      </c>
      <c r="E81" s="64">
        <f>SUM('Data cleaning'!N81+'Data cleaning'!Q81+'Data cleaning'!AB81+'Data cleaning'!Z81)</f>
        <v>472.5</v>
      </c>
      <c r="F81" s="64">
        <f>SUM('Data cleaning'!R81+'Data cleaning'!S81+'Data cleaning'!T81)</f>
        <v>359.5</v>
      </c>
      <c r="G81" s="76">
        <f>SUM('Data cleaning'!U81+'Data cleaning'!W81)</f>
        <v>236.6</v>
      </c>
      <c r="H81" s="64">
        <v>114.4</v>
      </c>
      <c r="I81" s="64">
        <v>108.4</v>
      </c>
      <c r="J81" s="64">
        <v>120.6</v>
      </c>
      <c r="K81" s="64">
        <v>113.8</v>
      </c>
      <c r="L81" s="64">
        <v>119.1</v>
      </c>
      <c r="M81" s="64">
        <f>SUM('Data cleaning'!U81+'Data cleaning'!V81+'Data cleaning'!Y81+'Data cleaning'!AC81)</f>
        <v>455.2</v>
      </c>
    </row>
    <row r="82" spans="1:13">
      <c r="A82" s="64" t="s">
        <v>34</v>
      </c>
      <c r="B82" s="64">
        <v>2015</v>
      </c>
      <c r="C82" s="64" t="s">
        <v>36</v>
      </c>
      <c r="D82" s="64">
        <f>SUM('Data cleaning'!D82+'Data cleaning'!E82+'Data cleaning'!F82+'Data cleaning'!G82+'Data cleaning'!H82+'Data cleaning'!I82+'Data cleaning'!J82+'Data cleaning'!K82+'Data cleaning'!L82+'Data cleaning'!O82+'Data cleaning'!P82+'Data cleaning'!M82)</f>
        <v>1451</v>
      </c>
      <c r="E82" s="64">
        <f>SUM('Data cleaning'!N82+'Data cleaning'!Q82+'Data cleaning'!AB82+'Data cleaning'!Z82)</f>
        <v>470.29999999999995</v>
      </c>
      <c r="F82" s="64">
        <f>SUM('Data cleaning'!R82+'Data cleaning'!S82+'Data cleaning'!T82)</f>
        <v>368.4</v>
      </c>
      <c r="G82" s="76">
        <f>SUM('Data cleaning'!U82+'Data cleaning'!W82)</f>
        <v>237.8</v>
      </c>
      <c r="H82" s="64">
        <v>118.3</v>
      </c>
      <c r="I82" s="64">
        <v>109.9</v>
      </c>
      <c r="J82" s="64">
        <v>120.1</v>
      </c>
      <c r="K82" s="64">
        <v>114.7</v>
      </c>
      <c r="L82" s="64">
        <v>120.2</v>
      </c>
      <c r="M82" s="64">
        <f>SUM('Data cleaning'!U82+'Data cleaning'!V82+'Data cleaning'!Y82+'Data cleaning'!AC82)</f>
        <v>461.49999999999994</v>
      </c>
    </row>
    <row r="83" spans="1:13">
      <c r="A83" s="64" t="s">
        <v>30</v>
      </c>
      <c r="B83" s="64">
        <v>2015</v>
      </c>
      <c r="C83" s="64" t="s">
        <v>37</v>
      </c>
      <c r="D83" s="64">
        <f>SUM('Data cleaning'!D83+'Data cleaning'!E83+'Data cleaning'!F83+'Data cleaning'!G83+'Data cleaning'!H83+'Data cleaning'!I83+'Data cleaning'!J83+'Data cleaning'!K83+'Data cleaning'!L83+'Data cleaning'!O83+'Data cleaning'!P83+'Data cleaning'!M83)</f>
        <v>1457.8</v>
      </c>
      <c r="E83" s="64">
        <f>SUM('Data cleaning'!N83+'Data cleaning'!Q83+'Data cleaning'!AB83+'Data cleaning'!Z83)</f>
        <v>472.90000000000003</v>
      </c>
      <c r="F83" s="64">
        <f>SUM('Data cleaning'!R83+'Data cleaning'!S83+'Data cleaning'!T83)</f>
        <v>375.7</v>
      </c>
      <c r="G83" s="76">
        <f>SUM('Data cleaning'!U83+'Data cleaning'!W83)</f>
        <v>240.10000000000002</v>
      </c>
      <c r="H83" s="64">
        <v>121.2</v>
      </c>
      <c r="I83" s="64">
        <v>111.9</v>
      </c>
      <c r="J83" s="64">
        <v>119.9</v>
      </c>
      <c r="K83" s="64">
        <v>116</v>
      </c>
      <c r="L83" s="64">
        <v>121.5</v>
      </c>
      <c r="M83" s="64">
        <f>SUM('Data cleaning'!U83+'Data cleaning'!V83+'Data cleaning'!Y83+'Data cleaning'!AC83)</f>
        <v>468.3</v>
      </c>
    </row>
    <row r="84" spans="1:13">
      <c r="A84" s="64" t="s">
        <v>33</v>
      </c>
      <c r="B84" s="64">
        <v>2015</v>
      </c>
      <c r="C84" s="64" t="s">
        <v>37</v>
      </c>
      <c r="D84" s="64">
        <f>SUM('Data cleaning'!D84+'Data cleaning'!E84+'Data cleaning'!F84+'Data cleaning'!G84+'Data cleaning'!H84+'Data cleaning'!I84+'Data cleaning'!J84+'Data cleaning'!K84+'Data cleaning'!L84+'Data cleaning'!O84+'Data cleaning'!P84+'Data cleaning'!M84)</f>
        <v>1458.8999999999999</v>
      </c>
      <c r="E84" s="64">
        <f>SUM('Data cleaning'!N84+'Data cleaning'!Q84+'Data cleaning'!AB84+'Data cleaning'!Z84)</f>
        <v>474.70000000000005</v>
      </c>
      <c r="F84" s="64">
        <f>SUM('Data cleaning'!R84+'Data cleaning'!S84+'Data cleaning'!T84)</f>
        <v>360.6</v>
      </c>
      <c r="G84" s="76">
        <f>SUM('Data cleaning'!U84+'Data cleaning'!W84)</f>
        <v>237.60000000000002</v>
      </c>
      <c r="H84" s="64">
        <v>114.7</v>
      </c>
      <c r="I84" s="64">
        <v>108.4</v>
      </c>
      <c r="J84" s="64">
        <v>121.7</v>
      </c>
      <c r="K84" s="64">
        <v>114.2</v>
      </c>
      <c r="L84" s="64">
        <v>119.7</v>
      </c>
      <c r="M84" s="64">
        <f>SUM('Data cleaning'!U84+'Data cleaning'!V84+'Data cleaning'!Y84+'Data cleaning'!AC84)</f>
        <v>456.5</v>
      </c>
    </row>
    <row r="85" spans="1:13">
      <c r="A85" s="64" t="s">
        <v>34</v>
      </c>
      <c r="B85" s="64">
        <v>2015</v>
      </c>
      <c r="C85" s="64" t="s">
        <v>37</v>
      </c>
      <c r="D85" s="64">
        <f>SUM('Data cleaning'!D85+'Data cleaning'!E85+'Data cleaning'!F85+'Data cleaning'!G85+'Data cleaning'!H85+'Data cleaning'!I85+'Data cleaning'!J85+'Data cleaning'!K85+'Data cleaning'!L85+'Data cleaning'!O85+'Data cleaning'!P85+'Data cleaning'!M85)</f>
        <v>1457.2</v>
      </c>
      <c r="E85" s="64">
        <f>SUM('Data cleaning'!N85+'Data cleaning'!Q85+'Data cleaning'!AB85+'Data cleaning'!Z85)</f>
        <v>473</v>
      </c>
      <c r="F85" s="64">
        <f>SUM('Data cleaning'!R85+'Data cleaning'!S85+'Data cleaning'!T85)</f>
        <v>369.6</v>
      </c>
      <c r="G85" s="76">
        <f>SUM('Data cleaning'!U85+'Data cleaning'!W85)</f>
        <v>238.9</v>
      </c>
      <c r="H85" s="64">
        <v>118.7</v>
      </c>
      <c r="I85" s="64">
        <v>110.1</v>
      </c>
      <c r="J85" s="64">
        <v>121</v>
      </c>
      <c r="K85" s="64">
        <v>115.1</v>
      </c>
      <c r="L85" s="64">
        <v>120.7</v>
      </c>
      <c r="M85" s="64">
        <f>SUM('Data cleaning'!U85+'Data cleaning'!V85+'Data cleaning'!Y85+'Data cleaning'!AC85)</f>
        <v>463.1</v>
      </c>
    </row>
    <row r="86" spans="1:13">
      <c r="A86" s="64" t="s">
        <v>30</v>
      </c>
      <c r="B86" s="64">
        <v>2015</v>
      </c>
      <c r="C86" s="64" t="s">
        <v>38</v>
      </c>
      <c r="D86" s="64">
        <f>SUM('Data cleaning'!D86+'Data cleaning'!E86+'Data cleaning'!F86+'Data cleaning'!G86+'Data cleaning'!H86+'Data cleaning'!I86+'Data cleaning'!J86+'Data cleaning'!K86+'Data cleaning'!L86+'Data cleaning'!O86+'Data cleaning'!P86+'Data cleaning'!M86)</f>
        <v>1467.5</v>
      </c>
      <c r="E86" s="64">
        <f>SUM('Data cleaning'!N86+'Data cleaning'!Q86+'Data cleaning'!AB86+'Data cleaning'!Z86)</f>
        <v>475.9</v>
      </c>
      <c r="F86" s="64">
        <f>SUM('Data cleaning'!R86+'Data cleaning'!S86+'Data cleaning'!T86)</f>
        <v>378.2</v>
      </c>
      <c r="G86" s="76">
        <f>SUM('Data cleaning'!U86+'Data cleaning'!W86)</f>
        <v>241.1</v>
      </c>
      <c r="H86" s="64">
        <v>121.9</v>
      </c>
      <c r="I86" s="64">
        <v>113.3</v>
      </c>
      <c r="J86" s="64">
        <v>120.5</v>
      </c>
      <c r="K86" s="64">
        <v>116.9</v>
      </c>
      <c r="L86" s="64">
        <v>122.4</v>
      </c>
      <c r="M86" s="64">
        <f>SUM('Data cleaning'!U86+'Data cleaning'!V86+'Data cleaning'!Y86+'Data cleaning'!AC86)</f>
        <v>471.70000000000005</v>
      </c>
    </row>
    <row r="87" spans="1:13">
      <c r="A87" s="64" t="s">
        <v>33</v>
      </c>
      <c r="B87" s="64">
        <v>2015</v>
      </c>
      <c r="C87" s="64" t="s">
        <v>38</v>
      </c>
      <c r="D87" s="64">
        <f>SUM('Data cleaning'!D87+'Data cleaning'!E87+'Data cleaning'!F87+'Data cleaning'!G87+'Data cleaning'!H87+'Data cleaning'!I87+'Data cleaning'!J87+'Data cleaning'!K87+'Data cleaning'!L87+'Data cleaning'!O87+'Data cleaning'!P87+'Data cleaning'!M87)</f>
        <v>1481.2</v>
      </c>
      <c r="E87" s="64">
        <f>SUM('Data cleaning'!N87+'Data cleaning'!Q87+'Data cleaning'!AB87+'Data cleaning'!Z87)</f>
        <v>477.4</v>
      </c>
      <c r="F87" s="64">
        <f>SUM('Data cleaning'!R87+'Data cleaning'!S87+'Data cleaning'!T87)</f>
        <v>361.4</v>
      </c>
      <c r="G87" s="76">
        <f>SUM('Data cleaning'!U87+'Data cleaning'!W87)</f>
        <v>238.3</v>
      </c>
      <c r="H87" s="64">
        <v>114.9</v>
      </c>
      <c r="I87" s="64">
        <v>110.8</v>
      </c>
      <c r="J87" s="64">
        <v>122</v>
      </c>
      <c r="K87" s="64">
        <v>115.2</v>
      </c>
      <c r="L87" s="64">
        <v>120.7</v>
      </c>
      <c r="M87" s="64">
        <f>SUM('Data cleaning'!U87+'Data cleaning'!V87+'Data cleaning'!Y87+'Data cleaning'!AC87)</f>
        <v>460.5</v>
      </c>
    </row>
    <row r="88" spans="1:13">
      <c r="A88" s="64" t="s">
        <v>34</v>
      </c>
      <c r="B88" s="64">
        <v>2015</v>
      </c>
      <c r="C88" s="64" t="s">
        <v>38</v>
      </c>
      <c r="D88" s="64">
        <f>SUM('Data cleaning'!D88+'Data cleaning'!E88+'Data cleaning'!F88+'Data cleaning'!G88+'Data cleaning'!H88+'Data cleaning'!I88+'Data cleaning'!J88+'Data cleaning'!K88+'Data cleaning'!L88+'Data cleaning'!O88+'Data cleaning'!P88+'Data cleaning'!M88)</f>
        <v>1471.2</v>
      </c>
      <c r="E88" s="64">
        <f>SUM('Data cleaning'!N88+'Data cleaning'!Q88+'Data cleaning'!AB88+'Data cleaning'!Z88)</f>
        <v>475.70000000000005</v>
      </c>
      <c r="F88" s="64">
        <f>SUM('Data cleaning'!R88+'Data cleaning'!S88+'Data cleaning'!T88)</f>
        <v>371.4</v>
      </c>
      <c r="G88" s="76">
        <f>SUM('Data cleaning'!U88+'Data cleaning'!W88)</f>
        <v>239.8</v>
      </c>
      <c r="H88" s="64">
        <v>119.2</v>
      </c>
      <c r="I88" s="64">
        <v>112</v>
      </c>
      <c r="J88" s="64">
        <v>121.4</v>
      </c>
      <c r="K88" s="64">
        <v>116.1</v>
      </c>
      <c r="L88" s="64">
        <v>121.6</v>
      </c>
      <c r="M88" s="64">
        <f>SUM('Data cleaning'!U88+'Data cleaning'!V88+'Data cleaning'!Y88+'Data cleaning'!AC88)</f>
        <v>466.9</v>
      </c>
    </row>
    <row r="89" spans="1:13">
      <c r="A89" s="64" t="s">
        <v>30</v>
      </c>
      <c r="B89" s="64">
        <v>2015</v>
      </c>
      <c r="C89" s="64" t="s">
        <v>39</v>
      </c>
      <c r="D89" s="64">
        <f>SUM('Data cleaning'!D89+'Data cleaning'!E89+'Data cleaning'!F89+'Data cleaning'!G89+'Data cleaning'!H89+'Data cleaning'!I89+'Data cleaning'!J89+'Data cleaning'!K89+'Data cleaning'!L89+'Data cleaning'!O89+'Data cleaning'!P89+'Data cleaning'!M89)</f>
        <v>1496.8</v>
      </c>
      <c r="E89" s="64">
        <f>SUM('Data cleaning'!N89+'Data cleaning'!Q89+'Data cleaning'!AB89+'Data cleaning'!Z89)</f>
        <v>480.19999999999993</v>
      </c>
      <c r="F89" s="64">
        <f>SUM('Data cleaning'!R89+'Data cleaning'!S89+'Data cleaning'!T89)</f>
        <v>381.5</v>
      </c>
      <c r="G89" s="76">
        <f>SUM('Data cleaning'!U89+'Data cleaning'!W89)</f>
        <v>241.8</v>
      </c>
      <c r="H89" s="64">
        <v>122.6</v>
      </c>
      <c r="I89" s="64">
        <v>114.2</v>
      </c>
      <c r="J89" s="64">
        <v>122</v>
      </c>
      <c r="K89" s="64">
        <v>117.9</v>
      </c>
      <c r="L89" s="64">
        <v>124.1</v>
      </c>
      <c r="M89" s="64">
        <f>SUM('Data cleaning'!U89+'Data cleaning'!V89+'Data cleaning'!Y89+'Data cleaning'!AC89)</f>
        <v>473.70000000000005</v>
      </c>
    </row>
    <row r="90" spans="1:13">
      <c r="A90" s="64" t="s">
        <v>33</v>
      </c>
      <c r="B90" s="64">
        <v>2015</v>
      </c>
      <c r="C90" s="64" t="s">
        <v>39</v>
      </c>
      <c r="D90" s="64">
        <f>SUM('Data cleaning'!D90+'Data cleaning'!E90+'Data cleaning'!F90+'Data cleaning'!G90+'Data cleaning'!H90+'Data cleaning'!I90+'Data cleaning'!J90+'Data cleaning'!K90+'Data cleaning'!L90+'Data cleaning'!O90+'Data cleaning'!P90+'Data cleaning'!M90)</f>
        <v>1518.6</v>
      </c>
      <c r="E90" s="64">
        <f>SUM('Data cleaning'!N90+'Data cleaning'!Q90+'Data cleaning'!AB90+'Data cleaning'!Z90)</f>
        <v>478.8</v>
      </c>
      <c r="F90" s="64">
        <f>SUM('Data cleaning'!R90+'Data cleaning'!S90+'Data cleaning'!T90)</f>
        <v>363.1</v>
      </c>
      <c r="G90" s="76">
        <f>SUM('Data cleaning'!U90+'Data cleaning'!W90)</f>
        <v>238.2</v>
      </c>
      <c r="H90" s="64">
        <v>115.1</v>
      </c>
      <c r="I90" s="64">
        <v>111.7</v>
      </c>
      <c r="J90" s="64">
        <v>123.8</v>
      </c>
      <c r="K90" s="64">
        <v>116</v>
      </c>
      <c r="L90" s="64">
        <v>121.7</v>
      </c>
      <c r="M90" s="64">
        <f>SUM('Data cleaning'!U90+'Data cleaning'!V90+'Data cleaning'!Y90+'Data cleaning'!AC90)</f>
        <v>461.8</v>
      </c>
    </row>
    <row r="91" spans="1:13">
      <c r="A91" s="64" t="s">
        <v>34</v>
      </c>
      <c r="B91" s="64">
        <v>2015</v>
      </c>
      <c r="C91" s="64" t="s">
        <v>39</v>
      </c>
      <c r="D91" s="64">
        <f>SUM('Data cleaning'!D91+'Data cleaning'!E91+'Data cleaning'!F91+'Data cleaning'!G91+'Data cleaning'!H91+'Data cleaning'!I91+'Data cleaning'!J91+'Data cleaning'!K91+'Data cleaning'!L91+'Data cleaning'!O91+'Data cleaning'!P91+'Data cleaning'!M91)</f>
        <v>1503.7</v>
      </c>
      <c r="E91" s="64">
        <f>SUM('Data cleaning'!N91+'Data cleaning'!Q91+'Data cleaning'!AB91+'Data cleaning'!Z91)</f>
        <v>478.70000000000005</v>
      </c>
      <c r="F91" s="64">
        <f>SUM('Data cleaning'!R91+'Data cleaning'!S91+'Data cleaning'!T91)</f>
        <v>374.1</v>
      </c>
      <c r="G91" s="76">
        <f>SUM('Data cleaning'!U91+'Data cleaning'!W91)</f>
        <v>240.1</v>
      </c>
      <c r="H91" s="64">
        <v>119.8</v>
      </c>
      <c r="I91" s="64">
        <v>112.9</v>
      </c>
      <c r="J91" s="64">
        <v>123.1</v>
      </c>
      <c r="K91" s="64">
        <v>117</v>
      </c>
      <c r="L91" s="64">
        <v>123</v>
      </c>
      <c r="M91" s="64">
        <f>SUM('Data cleaning'!U91+'Data cleaning'!V91+'Data cleaning'!Y91+'Data cleaning'!AC91)</f>
        <v>468.70000000000005</v>
      </c>
    </row>
    <row r="92" spans="1:13">
      <c r="A92" s="64" t="s">
        <v>30</v>
      </c>
      <c r="B92" s="64">
        <v>2015</v>
      </c>
      <c r="C92" s="64" t="s">
        <v>40</v>
      </c>
      <c r="D92" s="64">
        <f>SUM('Data cleaning'!D92+'Data cleaning'!E92+'Data cleaning'!F92+'Data cleaning'!G92+'Data cleaning'!H92+'Data cleaning'!I92+'Data cleaning'!J92+'Data cleaning'!K92+'Data cleaning'!L92+'Data cleaning'!O92+'Data cleaning'!P92+'Data cleaning'!M92)</f>
        <v>1504.3</v>
      </c>
      <c r="E92" s="64">
        <f>SUM('Data cleaning'!N92+'Data cleaning'!Q92+'Data cleaning'!AB92+'Data cleaning'!Z92)</f>
        <v>481.1</v>
      </c>
      <c r="F92" s="64">
        <f>SUM('Data cleaning'!R92+'Data cleaning'!S92+'Data cleaning'!T92)</f>
        <v>382.6</v>
      </c>
      <c r="G92" s="76">
        <f>SUM('Data cleaning'!U92+'Data cleaning'!W92)</f>
        <v>242.9</v>
      </c>
      <c r="H92" s="64">
        <v>123</v>
      </c>
      <c r="I92" s="64">
        <v>114.1</v>
      </c>
      <c r="J92" s="64">
        <v>122.9</v>
      </c>
      <c r="K92" s="64">
        <v>118.1</v>
      </c>
      <c r="L92" s="64">
        <v>124.7</v>
      </c>
      <c r="M92" s="64">
        <f>SUM('Data cleaning'!U92+'Data cleaning'!V92+'Data cleaning'!Y92+'Data cleaning'!AC92)</f>
        <v>475.1</v>
      </c>
    </row>
    <row r="93" spans="1:13">
      <c r="A93" s="64" t="s">
        <v>33</v>
      </c>
      <c r="B93" s="64">
        <v>2015</v>
      </c>
      <c r="C93" s="64" t="s">
        <v>40</v>
      </c>
      <c r="D93" s="64">
        <f>SUM('Data cleaning'!D93+'Data cleaning'!E93+'Data cleaning'!F93+'Data cleaning'!G93+'Data cleaning'!H93+'Data cleaning'!I93+'Data cleaning'!J93+'Data cleaning'!K93+'Data cleaning'!L93+'Data cleaning'!O93+'Data cleaning'!P93+'Data cleaning'!M93)</f>
        <v>1524.6</v>
      </c>
      <c r="E93" s="64">
        <f>SUM('Data cleaning'!N93+'Data cleaning'!Q93+'Data cleaning'!AB93+'Data cleaning'!Z93)</f>
        <v>479.69999999999993</v>
      </c>
      <c r="F93" s="64">
        <f>SUM('Data cleaning'!R93+'Data cleaning'!S93+'Data cleaning'!T93)</f>
        <v>364.1</v>
      </c>
      <c r="G93" s="76">
        <f>SUM('Data cleaning'!U93+'Data cleaning'!W93)</f>
        <v>239.4</v>
      </c>
      <c r="H93" s="64">
        <v>115.3</v>
      </c>
      <c r="I93" s="64">
        <v>111.5</v>
      </c>
      <c r="J93" s="64">
        <v>125.4</v>
      </c>
      <c r="K93" s="64">
        <v>116.3</v>
      </c>
      <c r="L93" s="64">
        <v>122.4</v>
      </c>
      <c r="M93" s="64">
        <f>SUM('Data cleaning'!U93+'Data cleaning'!V93+'Data cleaning'!Y93+'Data cleaning'!AC93)</f>
        <v>463</v>
      </c>
    </row>
    <row r="94" spans="1:13">
      <c r="A94" s="64" t="s">
        <v>34</v>
      </c>
      <c r="B94" s="64">
        <v>2015</v>
      </c>
      <c r="C94" s="64" t="s">
        <v>40</v>
      </c>
      <c r="D94" s="64">
        <f>SUM('Data cleaning'!D94+'Data cleaning'!E94+'Data cleaning'!F94+'Data cleaning'!G94+'Data cleaning'!H94+'Data cleaning'!I94+'Data cleaning'!J94+'Data cleaning'!K94+'Data cleaning'!L94+'Data cleaning'!O94+'Data cleaning'!P94+'Data cleaning'!M94)</f>
        <v>1510.7</v>
      </c>
      <c r="E94" s="64">
        <f>SUM('Data cleaning'!N94+'Data cleaning'!Q94+'Data cleaning'!AB94+'Data cleaning'!Z94)</f>
        <v>479.8</v>
      </c>
      <c r="F94" s="64">
        <f>SUM('Data cleaning'!R94+'Data cleaning'!S94+'Data cleaning'!T94)</f>
        <v>375.1</v>
      </c>
      <c r="G94" s="76">
        <f>SUM('Data cleaning'!U94+'Data cleaning'!W94)</f>
        <v>241.2</v>
      </c>
      <c r="H94" s="64">
        <v>120.1</v>
      </c>
      <c r="I94" s="64">
        <v>112.7</v>
      </c>
      <c r="J94" s="64">
        <v>124.4</v>
      </c>
      <c r="K94" s="64">
        <v>117.2</v>
      </c>
      <c r="L94" s="64">
        <v>123.6</v>
      </c>
      <c r="M94" s="64">
        <f>SUM('Data cleaning'!U94+'Data cleaning'!V94+'Data cleaning'!Y94+'Data cleaning'!AC94)</f>
        <v>469.9</v>
      </c>
    </row>
    <row r="95" spans="1:13">
      <c r="A95" s="64" t="s">
        <v>30</v>
      </c>
      <c r="B95" s="64">
        <v>2015</v>
      </c>
      <c r="C95" s="64" t="s">
        <v>41</v>
      </c>
      <c r="D95" s="64">
        <f>SUM('Data cleaning'!D95+'Data cleaning'!E95+'Data cleaning'!F95+'Data cleaning'!G95+'Data cleaning'!H95+'Data cleaning'!I95+'Data cleaning'!J95+'Data cleaning'!K95+'Data cleaning'!L95+'Data cleaning'!O95+'Data cleaning'!P95+'Data cleaning'!M95)</f>
        <v>1525.1</v>
      </c>
      <c r="E95" s="64">
        <f>SUM('Data cleaning'!N95+'Data cleaning'!Q95+'Data cleaning'!AB95+'Data cleaning'!Z95)</f>
        <v>482.6</v>
      </c>
      <c r="F95" s="64">
        <f>SUM('Data cleaning'!R95+'Data cleaning'!S95+'Data cleaning'!T95)</f>
        <v>384.8</v>
      </c>
      <c r="G95" s="76">
        <f>SUM('Data cleaning'!U95+'Data cleaning'!W95)</f>
        <v>244.60000000000002</v>
      </c>
      <c r="H95" s="64">
        <v>123.8</v>
      </c>
      <c r="I95" s="64">
        <v>113.6</v>
      </c>
      <c r="J95" s="64">
        <v>123.6</v>
      </c>
      <c r="K95" s="64">
        <v>118.2</v>
      </c>
      <c r="L95" s="64">
        <v>126.1</v>
      </c>
      <c r="M95" s="64">
        <f>SUM('Data cleaning'!U95+'Data cleaning'!V95+'Data cleaning'!Y95+'Data cleaning'!AC95)</f>
        <v>476.49999999999994</v>
      </c>
    </row>
    <row r="96" spans="1:13">
      <c r="A96" s="64" t="s">
        <v>33</v>
      </c>
      <c r="B96" s="64">
        <v>2015</v>
      </c>
      <c r="C96" s="64" t="s">
        <v>41</v>
      </c>
      <c r="D96" s="64">
        <f>SUM('Data cleaning'!D96+'Data cleaning'!E96+'Data cleaning'!F96+'Data cleaning'!G96+'Data cleaning'!H96+'Data cleaning'!I96+'Data cleaning'!J96+'Data cleaning'!K96+'Data cleaning'!L96+'Data cleaning'!O96+'Data cleaning'!P96+'Data cleaning'!M96)</f>
        <v>1540.1</v>
      </c>
      <c r="E96" s="64">
        <f>SUM('Data cleaning'!N96+'Data cleaning'!Q96+'Data cleaning'!AB96+'Data cleaning'!Z96)</f>
        <v>482.2</v>
      </c>
      <c r="F96" s="64">
        <f>SUM('Data cleaning'!R96+'Data cleaning'!S96+'Data cleaning'!T96)</f>
        <v>364.8</v>
      </c>
      <c r="G96" s="76">
        <f>SUM('Data cleaning'!U96+'Data cleaning'!W96)</f>
        <v>240.9</v>
      </c>
      <c r="H96" s="64">
        <v>115.3</v>
      </c>
      <c r="I96" s="64">
        <v>109.9</v>
      </c>
      <c r="J96" s="64">
        <v>126.2</v>
      </c>
      <c r="K96" s="64">
        <v>116.2</v>
      </c>
      <c r="L96" s="64">
        <v>123.2</v>
      </c>
      <c r="M96" s="64">
        <f>SUM('Data cleaning'!U96+'Data cleaning'!V96+'Data cleaning'!Y96+'Data cleaning'!AC96)</f>
        <v>462.3</v>
      </c>
    </row>
    <row r="97" spans="1:13">
      <c r="A97" s="64" t="s">
        <v>34</v>
      </c>
      <c r="B97" s="64">
        <v>2015</v>
      </c>
      <c r="C97" s="64" t="s">
        <v>41</v>
      </c>
      <c r="D97" s="64">
        <f>SUM('Data cleaning'!D97+'Data cleaning'!E97+'Data cleaning'!F97+'Data cleaning'!G97+'Data cleaning'!H97+'Data cleaning'!I97+'Data cleaning'!J97+'Data cleaning'!K97+'Data cleaning'!L97+'Data cleaning'!O97+'Data cleaning'!P97+'Data cleaning'!M97)</f>
        <v>1529.1999999999998</v>
      </c>
      <c r="E97" s="64">
        <f>SUM('Data cleaning'!N97+'Data cleaning'!Q97+'Data cleaning'!AB97+'Data cleaning'!Z97)</f>
        <v>481.7</v>
      </c>
      <c r="F97" s="64">
        <f>SUM('Data cleaning'!R97+'Data cleaning'!S97+'Data cleaning'!T97)</f>
        <v>376.70000000000005</v>
      </c>
      <c r="G97" s="76">
        <f>SUM('Data cleaning'!U97+'Data cleaning'!W97)</f>
        <v>242.9</v>
      </c>
      <c r="H97" s="64">
        <v>120.6</v>
      </c>
      <c r="I97" s="64">
        <v>111.7</v>
      </c>
      <c r="J97" s="64">
        <v>125.1</v>
      </c>
      <c r="K97" s="64">
        <v>117.2</v>
      </c>
      <c r="L97" s="64">
        <v>124.8</v>
      </c>
      <c r="M97" s="64">
        <f>SUM('Data cleaning'!U97+'Data cleaning'!V97+'Data cleaning'!Y97+'Data cleaning'!AC97)</f>
        <v>470.4</v>
      </c>
    </row>
    <row r="98" spans="1:13">
      <c r="A98" s="64" t="s">
        <v>30</v>
      </c>
      <c r="B98" s="64">
        <v>2015</v>
      </c>
      <c r="C98" s="64" t="s">
        <v>42</v>
      </c>
      <c r="D98" s="64">
        <f>SUM('Data cleaning'!D98+'Data cleaning'!E98+'Data cleaning'!F98+'Data cleaning'!G98+'Data cleaning'!H98+'Data cleaning'!I98+'Data cleaning'!J98+'Data cleaning'!K98+'Data cleaning'!L98+'Data cleaning'!O98+'Data cleaning'!P98+'Data cleaning'!M98)</f>
        <v>1535.7</v>
      </c>
      <c r="E98" s="64">
        <f>SUM('Data cleaning'!N98+'Data cleaning'!Q98+'Data cleaning'!AB98+'Data cleaning'!Z98)</f>
        <v>486.20000000000005</v>
      </c>
      <c r="F98" s="64">
        <f>SUM('Data cleaning'!R98+'Data cleaning'!S98+'Data cleaning'!T98)</f>
        <v>387.1</v>
      </c>
      <c r="G98" s="76">
        <f>SUM('Data cleaning'!U98+'Data cleaning'!W98)</f>
        <v>246.1</v>
      </c>
      <c r="H98" s="64">
        <v>123.7</v>
      </c>
      <c r="I98" s="64">
        <v>113.8</v>
      </c>
      <c r="J98" s="64">
        <v>124.5</v>
      </c>
      <c r="K98" s="64">
        <v>118.8</v>
      </c>
      <c r="L98" s="64">
        <v>127</v>
      </c>
      <c r="M98" s="64">
        <f>SUM('Data cleaning'!U98+'Data cleaning'!V98+'Data cleaning'!Y98+'Data cleaning'!AC98)</f>
        <v>477.90000000000003</v>
      </c>
    </row>
    <row r="99" spans="1:13">
      <c r="A99" s="64" t="s">
        <v>33</v>
      </c>
      <c r="B99" s="64">
        <v>2015</v>
      </c>
      <c r="C99" s="64" t="s">
        <v>42</v>
      </c>
      <c r="D99" s="64">
        <f>SUM('Data cleaning'!D99+'Data cleaning'!E99+'Data cleaning'!F99+'Data cleaning'!G99+'Data cleaning'!H99+'Data cleaning'!I99+'Data cleaning'!J99+'Data cleaning'!K99+'Data cleaning'!L99+'Data cleaning'!O99+'Data cleaning'!P99+'Data cleaning'!M99)</f>
        <v>1545.7</v>
      </c>
      <c r="E99" s="64">
        <f>SUM('Data cleaning'!N99+'Data cleaning'!Q99+'Data cleaning'!AB99+'Data cleaning'!Z99)</f>
        <v>484</v>
      </c>
      <c r="F99" s="64">
        <f>SUM('Data cleaning'!R99+'Data cleaning'!S99+'Data cleaning'!T99)</f>
        <v>365.8</v>
      </c>
      <c r="G99" s="76">
        <f>SUM('Data cleaning'!U99+'Data cleaning'!W99)</f>
        <v>242</v>
      </c>
      <c r="H99" s="64">
        <v>115.1</v>
      </c>
      <c r="I99" s="64">
        <v>109.1</v>
      </c>
      <c r="J99" s="64">
        <v>126.5</v>
      </c>
      <c r="K99" s="64">
        <v>116.2</v>
      </c>
      <c r="L99" s="64">
        <v>123.5</v>
      </c>
      <c r="M99" s="64">
        <f>SUM('Data cleaning'!U99+'Data cleaning'!V99+'Data cleaning'!Y99+'Data cleaning'!AC99)</f>
        <v>461.99999999999994</v>
      </c>
    </row>
    <row r="100" spans="1:13">
      <c r="A100" s="64" t="s">
        <v>34</v>
      </c>
      <c r="B100" s="64">
        <v>2015</v>
      </c>
      <c r="C100" s="64" t="s">
        <v>42</v>
      </c>
      <c r="D100" s="64">
        <f>SUM('Data cleaning'!D100+'Data cleaning'!E100+'Data cleaning'!F100+'Data cleaning'!G100+'Data cleaning'!H100+'Data cleaning'!I100+'Data cleaning'!J100+'Data cleaning'!K100+'Data cleaning'!L100+'Data cleaning'!O100+'Data cleaning'!P100+'Data cleaning'!M100)</f>
        <v>1537.6000000000001</v>
      </c>
      <c r="E100" s="64">
        <f>SUM('Data cleaning'!N100+'Data cleaning'!Q100+'Data cleaning'!AB100+'Data cleaning'!Z100)</f>
        <v>484.40000000000003</v>
      </c>
      <c r="F100" s="64">
        <f>SUM('Data cleaning'!R100+'Data cleaning'!S100+'Data cleaning'!T100)</f>
        <v>378.5</v>
      </c>
      <c r="G100" s="76">
        <f>SUM('Data cleaning'!U100+'Data cleaning'!W100)</f>
        <v>244.2</v>
      </c>
      <c r="H100" s="64">
        <v>120.4</v>
      </c>
      <c r="I100" s="64">
        <v>111.3</v>
      </c>
      <c r="J100" s="64">
        <v>125.7</v>
      </c>
      <c r="K100" s="64">
        <v>117.5</v>
      </c>
      <c r="L100" s="64">
        <v>125.4</v>
      </c>
      <c r="M100" s="64">
        <f>SUM('Data cleaning'!U100+'Data cleaning'!V100+'Data cleaning'!Y100+'Data cleaning'!AC100)</f>
        <v>470.8</v>
      </c>
    </row>
    <row r="101" spans="1:13">
      <c r="A101" s="64" t="s">
        <v>30</v>
      </c>
      <c r="B101" s="64">
        <v>2015</v>
      </c>
      <c r="C101" s="64" t="s">
        <v>43</v>
      </c>
      <c r="D101" s="64">
        <f>SUM('Data cleaning'!D101+'Data cleaning'!E101+'Data cleaning'!F101+'Data cleaning'!G101+'Data cleaning'!H101+'Data cleaning'!I101+'Data cleaning'!J101+'Data cleaning'!K101+'Data cleaning'!L101+'Data cleaning'!O101+'Data cleaning'!P101+'Data cleaning'!M101)</f>
        <v>1552.3</v>
      </c>
      <c r="E101" s="64">
        <f>SUM('Data cleaning'!N101+'Data cleaning'!Q101+'Data cleaning'!AB101+'Data cleaning'!Z101)</f>
        <v>488.1</v>
      </c>
      <c r="F101" s="64">
        <f>SUM('Data cleaning'!R101+'Data cleaning'!S101+'Data cleaning'!T101)</f>
        <v>389</v>
      </c>
      <c r="G101" s="76">
        <f>SUM('Data cleaning'!U101+'Data cleaning'!W101)</f>
        <v>247.5</v>
      </c>
      <c r="H101" s="64">
        <v>124.4</v>
      </c>
      <c r="I101" s="64">
        <v>113.8</v>
      </c>
      <c r="J101" s="64">
        <v>125.1</v>
      </c>
      <c r="K101" s="64">
        <v>119.2</v>
      </c>
      <c r="L101" s="64">
        <v>127.7</v>
      </c>
      <c r="M101" s="64">
        <f>SUM('Data cleaning'!U101+'Data cleaning'!V101+'Data cleaning'!Y101+'Data cleaning'!AC101)</f>
        <v>479.8</v>
      </c>
    </row>
    <row r="102" spans="1:13">
      <c r="A102" s="64" t="s">
        <v>33</v>
      </c>
      <c r="B102" s="64">
        <v>2015</v>
      </c>
      <c r="C102" s="64" t="s">
        <v>43</v>
      </c>
      <c r="D102" s="64">
        <f>SUM('Data cleaning'!D102+'Data cleaning'!E102+'Data cleaning'!F102+'Data cleaning'!G102+'Data cleaning'!H102+'Data cleaning'!I102+'Data cleaning'!J102+'Data cleaning'!K102+'Data cleaning'!L102+'Data cleaning'!O102+'Data cleaning'!P102+'Data cleaning'!M102)</f>
        <v>1573.4</v>
      </c>
      <c r="E102" s="64">
        <f>SUM('Data cleaning'!N102+'Data cleaning'!Q102+'Data cleaning'!AB102+'Data cleaning'!Z102)</f>
        <v>485.90000000000003</v>
      </c>
      <c r="F102" s="64">
        <f>SUM('Data cleaning'!R102+'Data cleaning'!S102+'Data cleaning'!T102)</f>
        <v>366.79999999999995</v>
      </c>
      <c r="G102" s="76">
        <f>SUM('Data cleaning'!U102+'Data cleaning'!W102)</f>
        <v>243.10000000000002</v>
      </c>
      <c r="H102" s="64">
        <v>114.9</v>
      </c>
      <c r="I102" s="64">
        <v>109.3</v>
      </c>
      <c r="J102" s="64">
        <v>126.5</v>
      </c>
      <c r="K102" s="64">
        <v>116.5</v>
      </c>
      <c r="L102" s="64">
        <v>124.2</v>
      </c>
      <c r="M102" s="64">
        <f>SUM('Data cleaning'!U102+'Data cleaning'!V102+'Data cleaning'!Y102+'Data cleaning'!AC102)</f>
        <v>463.1</v>
      </c>
    </row>
    <row r="103" spans="1:13">
      <c r="A103" s="64" t="s">
        <v>34</v>
      </c>
      <c r="B103" s="64">
        <v>2015</v>
      </c>
      <c r="C103" s="64" t="s">
        <v>43</v>
      </c>
      <c r="D103" s="64">
        <f>SUM('Data cleaning'!D103+'Data cleaning'!E103+'Data cleaning'!F103+'Data cleaning'!G103+'Data cleaning'!H103+'Data cleaning'!I103+'Data cleaning'!J103+'Data cleaning'!K103+'Data cleaning'!L103+'Data cleaning'!O103+'Data cleaning'!P103+'Data cleaning'!M103)</f>
        <v>1557.8999999999999</v>
      </c>
      <c r="E103" s="64">
        <f>SUM('Data cleaning'!N103+'Data cleaning'!Q103+'Data cleaning'!AB103+'Data cleaning'!Z103)</f>
        <v>486.2</v>
      </c>
      <c r="F103" s="64">
        <f>SUM('Data cleaning'!R103+'Data cleaning'!S103+'Data cleaning'!T103)</f>
        <v>380.1</v>
      </c>
      <c r="G103" s="76">
        <f>SUM('Data cleaning'!U103+'Data cleaning'!W103)</f>
        <v>245.4</v>
      </c>
      <c r="H103" s="64">
        <v>120.8</v>
      </c>
      <c r="I103" s="64">
        <v>111.4</v>
      </c>
      <c r="J103" s="64">
        <v>125.9</v>
      </c>
      <c r="K103" s="64">
        <v>117.9</v>
      </c>
      <c r="L103" s="64">
        <v>126.1</v>
      </c>
      <c r="M103" s="64">
        <f>SUM('Data cleaning'!U103+'Data cleaning'!V103+'Data cleaning'!Y103+'Data cleaning'!AC103)</f>
        <v>472.5</v>
      </c>
    </row>
    <row r="104" spans="1:13">
      <c r="A104" s="64" t="s">
        <v>30</v>
      </c>
      <c r="B104" s="64">
        <v>2015</v>
      </c>
      <c r="C104" s="64" t="s">
        <v>45</v>
      </c>
      <c r="D104" s="64">
        <f>SUM('Data cleaning'!D104+'Data cleaning'!E104+'Data cleaning'!F104+'Data cleaning'!G104+'Data cleaning'!H104+'Data cleaning'!I104+'Data cleaning'!J104+'Data cleaning'!K104+'Data cleaning'!L104+'Data cleaning'!O104+'Data cleaning'!P104+'Data cleaning'!M104)</f>
        <v>1563.2</v>
      </c>
      <c r="E104" s="64">
        <f>SUM('Data cleaning'!N104+'Data cleaning'!Q104+'Data cleaning'!AB104+'Data cleaning'!Z104)</f>
        <v>490.4</v>
      </c>
      <c r="F104" s="64">
        <f>SUM('Data cleaning'!R104+'Data cleaning'!S104+'Data cleaning'!T104)</f>
        <v>391.79999999999995</v>
      </c>
      <c r="G104" s="76">
        <f>SUM('Data cleaning'!U104+'Data cleaning'!W104)</f>
        <v>248.5</v>
      </c>
      <c r="H104" s="64">
        <v>125.6</v>
      </c>
      <c r="I104" s="64">
        <v>114</v>
      </c>
      <c r="J104" s="64">
        <v>125.8</v>
      </c>
      <c r="K104" s="64">
        <v>119.6</v>
      </c>
      <c r="L104" s="64">
        <v>128.30000000000001</v>
      </c>
      <c r="M104" s="64">
        <f>SUM('Data cleaning'!U104+'Data cleaning'!V104+'Data cleaning'!Y104+'Data cleaning'!AC104)</f>
        <v>482.1</v>
      </c>
    </row>
    <row r="105" spans="1:13">
      <c r="A105" s="64" t="s">
        <v>33</v>
      </c>
      <c r="B105" s="64">
        <v>2015</v>
      </c>
      <c r="C105" s="64" t="s">
        <v>45</v>
      </c>
      <c r="D105" s="64">
        <f>SUM('Data cleaning'!D105+'Data cleaning'!E105+'Data cleaning'!F105+'Data cleaning'!G105+'Data cleaning'!H105+'Data cleaning'!I105+'Data cleaning'!J105+'Data cleaning'!K105+'Data cleaning'!L105+'Data cleaning'!O105+'Data cleaning'!P105+'Data cleaning'!M105)</f>
        <v>1588.6999999999998</v>
      </c>
      <c r="E105" s="64">
        <f>SUM('Data cleaning'!N105+'Data cleaning'!Q105+'Data cleaning'!AB105+'Data cleaning'!Z105)</f>
        <v>488.6</v>
      </c>
      <c r="F105" s="64">
        <f>SUM('Data cleaning'!R105+'Data cleaning'!S105+'Data cleaning'!T105)</f>
        <v>368.5</v>
      </c>
      <c r="G105" s="76">
        <f>SUM('Data cleaning'!U105+'Data cleaning'!W105)</f>
        <v>243.9</v>
      </c>
      <c r="H105" s="64">
        <v>115.1</v>
      </c>
      <c r="I105" s="64">
        <v>109.3</v>
      </c>
      <c r="J105" s="64">
        <v>126.6</v>
      </c>
      <c r="K105" s="64">
        <v>116.6</v>
      </c>
      <c r="L105" s="64">
        <v>124.6</v>
      </c>
      <c r="M105" s="64">
        <f>SUM('Data cleaning'!U105+'Data cleaning'!V105+'Data cleaning'!Y105+'Data cleaning'!AC105)</f>
        <v>463.9</v>
      </c>
    </row>
    <row r="106" spans="1:13">
      <c r="A106" s="64" t="s">
        <v>34</v>
      </c>
      <c r="B106" s="64">
        <v>2015</v>
      </c>
      <c r="C106" s="64" t="s">
        <v>45</v>
      </c>
      <c r="D106" s="64">
        <f>SUM('Data cleaning'!D106+'Data cleaning'!E106+'Data cleaning'!F106+'Data cleaning'!G106+'Data cleaning'!H106+'Data cleaning'!I106+'Data cleaning'!J106+'Data cleaning'!K106+'Data cleaning'!L106+'Data cleaning'!O106+'Data cleaning'!P106+'Data cleaning'!M106)</f>
        <v>1570.3999999999999</v>
      </c>
      <c r="E106" s="64">
        <f>SUM('Data cleaning'!N106+'Data cleaning'!Q106+'Data cleaning'!AB106+'Data cleaning'!Z106)</f>
        <v>488.3</v>
      </c>
      <c r="F106" s="64">
        <f>SUM('Data cleaning'!R106+'Data cleaning'!S106+'Data cleaning'!T106)</f>
        <v>382.4</v>
      </c>
      <c r="G106" s="76">
        <f>SUM('Data cleaning'!U106+'Data cleaning'!W106)</f>
        <v>246.3</v>
      </c>
      <c r="H106" s="64">
        <v>121.6</v>
      </c>
      <c r="I106" s="64">
        <v>111.5</v>
      </c>
      <c r="J106" s="64">
        <v>126.3</v>
      </c>
      <c r="K106" s="64">
        <v>118.1</v>
      </c>
      <c r="L106" s="64">
        <v>126.6</v>
      </c>
      <c r="M106" s="64">
        <f>SUM('Data cleaning'!U106+'Data cleaning'!V106+'Data cleaning'!Y106+'Data cleaning'!AC106)</f>
        <v>474.1</v>
      </c>
    </row>
    <row r="107" spans="1:13">
      <c r="A107" s="64" t="s">
        <v>30</v>
      </c>
      <c r="B107" s="64">
        <v>2015</v>
      </c>
      <c r="C107" s="64" t="s">
        <v>46</v>
      </c>
      <c r="D107" s="64">
        <f>SUM('Data cleaning'!D107+'Data cleaning'!E107+'Data cleaning'!F107+'Data cleaning'!G107+'Data cleaning'!H107+'Data cleaning'!I107+'Data cleaning'!J107+'Data cleaning'!K107+'Data cleaning'!L107+'Data cleaning'!O107+'Data cleaning'!P107+'Data cleaning'!M107)</f>
        <v>1559.0000000000002</v>
      </c>
      <c r="E107" s="64">
        <f>SUM('Data cleaning'!N107+'Data cleaning'!Q107+'Data cleaning'!AB107+'Data cleaning'!Z107)</f>
        <v>492.1</v>
      </c>
      <c r="F107" s="64">
        <f>SUM('Data cleaning'!R107+'Data cleaning'!S107+'Data cleaning'!T107)</f>
        <v>392.9</v>
      </c>
      <c r="G107" s="76">
        <f>SUM('Data cleaning'!U107+'Data cleaning'!W107)</f>
        <v>248.4</v>
      </c>
      <c r="H107" s="64">
        <v>125.7</v>
      </c>
      <c r="I107" s="64">
        <v>114</v>
      </c>
      <c r="J107" s="64">
        <v>125.6</v>
      </c>
      <c r="K107" s="64">
        <v>119.8</v>
      </c>
      <c r="L107" s="64">
        <v>127.9</v>
      </c>
      <c r="M107" s="64">
        <f>SUM('Data cleaning'!U107+'Data cleaning'!V107+'Data cleaning'!Y107+'Data cleaning'!AC107)</f>
        <v>481.90000000000003</v>
      </c>
    </row>
    <row r="108" spans="1:13">
      <c r="A108" s="64" t="s">
        <v>33</v>
      </c>
      <c r="B108" s="64">
        <v>2015</v>
      </c>
      <c r="C108" s="64" t="s">
        <v>46</v>
      </c>
      <c r="D108" s="64">
        <f>SUM('Data cleaning'!D108+'Data cleaning'!E108+'Data cleaning'!F108+'Data cleaning'!G108+'Data cleaning'!H108+'Data cleaning'!I108+'Data cleaning'!J108+'Data cleaning'!K108+'Data cleaning'!L108+'Data cleaning'!O108+'Data cleaning'!P108+'Data cleaning'!M108)</f>
        <v>1578.6</v>
      </c>
      <c r="E108" s="64">
        <f>SUM('Data cleaning'!N108+'Data cleaning'!Q108+'Data cleaning'!AB108+'Data cleaning'!Z108)</f>
        <v>489.69999999999993</v>
      </c>
      <c r="F108" s="64">
        <f>SUM('Data cleaning'!R108+'Data cleaning'!S108+'Data cleaning'!T108)</f>
        <v>369.4</v>
      </c>
      <c r="G108" s="76">
        <f>SUM('Data cleaning'!U108+'Data cleaning'!W108)</f>
        <v>243.4</v>
      </c>
      <c r="H108" s="64">
        <v>116</v>
      </c>
      <c r="I108" s="64">
        <v>109.3</v>
      </c>
      <c r="J108" s="64">
        <v>126.6</v>
      </c>
      <c r="K108" s="64">
        <v>116.7</v>
      </c>
      <c r="L108" s="64">
        <v>124</v>
      </c>
      <c r="M108" s="64">
        <f>SUM('Data cleaning'!U108+'Data cleaning'!V108+'Data cleaning'!Y108+'Data cleaning'!AC108)</f>
        <v>464.4</v>
      </c>
    </row>
    <row r="109" spans="1:13">
      <c r="A109" s="64" t="s">
        <v>34</v>
      </c>
      <c r="B109" s="64">
        <v>2015</v>
      </c>
      <c r="C109" s="64" t="s">
        <v>46</v>
      </c>
      <c r="D109" s="64">
        <f>SUM('Data cleaning'!D109+'Data cleaning'!E109+'Data cleaning'!F109+'Data cleaning'!G109+'Data cleaning'!H109+'Data cleaning'!I109+'Data cleaning'!J109+'Data cleaning'!K109+'Data cleaning'!L109+'Data cleaning'!O109+'Data cleaning'!P109+'Data cleaning'!M109)</f>
        <v>1564.1000000000001</v>
      </c>
      <c r="E109" s="64">
        <f>SUM('Data cleaning'!N109+'Data cleaning'!Q109+'Data cleaning'!AB109+'Data cleaning'!Z109)</f>
        <v>489.79999999999995</v>
      </c>
      <c r="F109" s="64">
        <f>SUM('Data cleaning'!R109+'Data cleaning'!S109+'Data cleaning'!T109)</f>
        <v>383.5</v>
      </c>
      <c r="G109" s="76">
        <f>SUM('Data cleaning'!U109+'Data cleaning'!W109)</f>
        <v>246</v>
      </c>
      <c r="H109" s="64">
        <v>122</v>
      </c>
      <c r="I109" s="64">
        <v>111.5</v>
      </c>
      <c r="J109" s="64">
        <v>126.2</v>
      </c>
      <c r="K109" s="64">
        <v>118.3</v>
      </c>
      <c r="L109" s="64">
        <v>126.1</v>
      </c>
      <c r="M109" s="64">
        <f>SUM('Data cleaning'!U109+'Data cleaning'!V109+'Data cleaning'!Y109+'Data cleaning'!AC109)</f>
        <v>474.2</v>
      </c>
    </row>
    <row r="110" spans="1:13">
      <c r="A110" s="64" t="s">
        <v>30</v>
      </c>
      <c r="B110" s="64">
        <v>2016</v>
      </c>
      <c r="C110" s="64" t="s">
        <v>31</v>
      </c>
      <c r="D110" s="64">
        <f>SUM('Data cleaning'!D110+'Data cleaning'!E110+'Data cleaning'!F110+'Data cleaning'!G110+'Data cleaning'!H110+'Data cleaning'!I110+'Data cleaning'!J110+'Data cleaning'!K110+'Data cleaning'!L110+'Data cleaning'!O110+'Data cleaning'!P110+'Data cleaning'!M110)</f>
        <v>1565.8000000000002</v>
      </c>
      <c r="E110" s="64">
        <f>SUM('Data cleaning'!N110+'Data cleaning'!Q110+'Data cleaning'!AB110+'Data cleaning'!Z110)</f>
        <v>494.19999999999993</v>
      </c>
      <c r="F110" s="64">
        <f>SUM('Data cleaning'!R110+'Data cleaning'!S110+'Data cleaning'!T110)</f>
        <v>394.70000000000005</v>
      </c>
      <c r="G110" s="76">
        <f>SUM('Data cleaning'!U110+'Data cleaning'!W110)</f>
        <v>250</v>
      </c>
      <c r="H110" s="64">
        <v>126.2</v>
      </c>
      <c r="I110" s="64">
        <v>113.6</v>
      </c>
      <c r="J110" s="64">
        <v>126.2</v>
      </c>
      <c r="K110" s="64">
        <v>120.1</v>
      </c>
      <c r="L110" s="64">
        <v>128.1</v>
      </c>
      <c r="M110" s="64">
        <f>SUM('Data cleaning'!U110+'Data cleaning'!V110+'Data cleaning'!Y110+'Data cleaning'!AC110)</f>
        <v>483.30000000000007</v>
      </c>
    </row>
    <row r="111" spans="1:13">
      <c r="A111" s="64" t="s">
        <v>33</v>
      </c>
      <c r="B111" s="64">
        <v>2016</v>
      </c>
      <c r="C111" s="64" t="s">
        <v>31</v>
      </c>
      <c r="D111" s="64">
        <f>SUM('Data cleaning'!D111+'Data cleaning'!E111+'Data cleaning'!F111+'Data cleaning'!G111+'Data cleaning'!H111+'Data cleaning'!I111+'Data cleaning'!J111+'Data cleaning'!K111+'Data cleaning'!L111+'Data cleaning'!O111+'Data cleaning'!P111+'Data cleaning'!M111)</f>
        <v>1580.9</v>
      </c>
      <c r="E111" s="64">
        <f>SUM('Data cleaning'!N111+'Data cleaning'!Q111+'Data cleaning'!AB111+'Data cleaning'!Z111)</f>
        <v>492.5</v>
      </c>
      <c r="F111" s="64">
        <f>SUM('Data cleaning'!R111+'Data cleaning'!S111+'Data cleaning'!T111)</f>
        <v>370.5</v>
      </c>
      <c r="G111" s="76">
        <f>SUM('Data cleaning'!U111+'Data cleaning'!W111)</f>
        <v>245</v>
      </c>
      <c r="H111" s="64">
        <v>116.9</v>
      </c>
      <c r="I111" s="64">
        <v>108.9</v>
      </c>
      <c r="J111" s="64">
        <v>126.4</v>
      </c>
      <c r="K111" s="64">
        <v>116.8</v>
      </c>
      <c r="L111" s="64">
        <v>124.2</v>
      </c>
      <c r="M111" s="64">
        <f>SUM('Data cleaning'!U111+'Data cleaning'!V111+'Data cleaning'!Y111+'Data cleaning'!AC111)</f>
        <v>466.00000000000006</v>
      </c>
    </row>
    <row r="112" spans="1:13">
      <c r="A112" s="64" t="s">
        <v>34</v>
      </c>
      <c r="B112" s="64">
        <v>2016</v>
      </c>
      <c r="C112" s="64" t="s">
        <v>31</v>
      </c>
      <c r="D112" s="64">
        <f>SUM('Data cleaning'!D112+'Data cleaning'!E112+'Data cleaning'!F112+'Data cleaning'!G112+'Data cleaning'!H112+'Data cleaning'!I112+'Data cleaning'!J112+'Data cleaning'!K112+'Data cleaning'!L112+'Data cleaning'!O112+'Data cleaning'!P112+'Data cleaning'!M112)</f>
        <v>1569</v>
      </c>
      <c r="E112" s="64">
        <f>SUM('Data cleaning'!N112+'Data cleaning'!Q112+'Data cleaning'!AB112+'Data cleaning'!Z112)</f>
        <v>492.2</v>
      </c>
      <c r="F112" s="64">
        <f>SUM('Data cleaning'!R112+'Data cleaning'!S112+'Data cleaning'!T112)</f>
        <v>384.9</v>
      </c>
      <c r="G112" s="76">
        <f>SUM('Data cleaning'!U112+'Data cleaning'!W112)</f>
        <v>247.60000000000002</v>
      </c>
      <c r="H112" s="64">
        <v>122.7</v>
      </c>
      <c r="I112" s="64">
        <v>111.1</v>
      </c>
      <c r="J112" s="64">
        <v>126.3</v>
      </c>
      <c r="K112" s="64">
        <v>118.5</v>
      </c>
      <c r="L112" s="64">
        <v>126.3</v>
      </c>
      <c r="M112" s="64">
        <f>SUM('Data cleaning'!U112+'Data cleaning'!V112+'Data cleaning'!Y112+'Data cleaning'!AC112)</f>
        <v>475.70000000000005</v>
      </c>
    </row>
    <row r="113" spans="1:13">
      <c r="A113" s="64" t="s">
        <v>30</v>
      </c>
      <c r="B113" s="64">
        <v>2016</v>
      </c>
      <c r="C113" s="64" t="s">
        <v>35</v>
      </c>
      <c r="D113" s="64">
        <f>SUM('Data cleaning'!D113+'Data cleaning'!E113+'Data cleaning'!F113+'Data cleaning'!G113+'Data cleaning'!H113+'Data cleaning'!I113+'Data cleaning'!J113+'Data cleaning'!K113+'Data cleaning'!L113+'Data cleaning'!O113+'Data cleaning'!P113+'Data cleaning'!M113)</f>
        <v>1557.8</v>
      </c>
      <c r="E113" s="64">
        <f>SUM('Data cleaning'!N113+'Data cleaning'!Q113+'Data cleaning'!AB113+'Data cleaning'!Z113)</f>
        <v>498.3</v>
      </c>
      <c r="F113" s="64">
        <f>SUM('Data cleaning'!R113+'Data cleaning'!S113+'Data cleaning'!T113)</f>
        <v>397.1</v>
      </c>
      <c r="G113" s="76">
        <f>SUM('Data cleaning'!U113+'Data cleaning'!W113)</f>
        <v>251.5</v>
      </c>
      <c r="H113" s="64">
        <v>127.5</v>
      </c>
      <c r="I113" s="64">
        <v>113.9</v>
      </c>
      <c r="J113" s="64">
        <v>127.1</v>
      </c>
      <c r="K113" s="64">
        <v>120.9</v>
      </c>
      <c r="L113" s="64">
        <v>127.9</v>
      </c>
      <c r="M113" s="64">
        <f>SUM('Data cleaning'!U113+'Data cleaning'!V113+'Data cleaning'!Y113+'Data cleaning'!AC113)</f>
        <v>486.70000000000005</v>
      </c>
    </row>
    <row r="114" spans="1:13">
      <c r="A114" s="64" t="s">
        <v>33</v>
      </c>
      <c r="B114" s="64">
        <v>2016</v>
      </c>
      <c r="C114" s="64" t="s">
        <v>35</v>
      </c>
      <c r="D114" s="64">
        <f>SUM('Data cleaning'!D114+'Data cleaning'!E114+'Data cleaning'!F114+'Data cleaning'!G114+'Data cleaning'!H114+'Data cleaning'!I114+'Data cleaning'!J114+'Data cleaning'!K114+'Data cleaning'!L114+'Data cleaning'!O114+'Data cleaning'!P114+'Data cleaning'!M114)</f>
        <v>1555.5</v>
      </c>
      <c r="E114" s="64">
        <f>SUM('Data cleaning'!N114+'Data cleaning'!Q114+'Data cleaning'!AB114+'Data cleaning'!Z114)</f>
        <v>495.6</v>
      </c>
      <c r="F114" s="64">
        <f>SUM('Data cleaning'!R114+'Data cleaning'!S114+'Data cleaning'!T114)</f>
        <v>371.6</v>
      </c>
      <c r="G114" s="76">
        <f>SUM('Data cleaning'!U114+'Data cleaning'!W114)</f>
        <v>246.2</v>
      </c>
      <c r="H114" s="64">
        <v>116</v>
      </c>
      <c r="I114" s="64">
        <v>109.1</v>
      </c>
      <c r="J114" s="64">
        <v>126.3</v>
      </c>
      <c r="K114" s="64">
        <v>117.2</v>
      </c>
      <c r="L114" s="64">
        <v>123.8</v>
      </c>
      <c r="M114" s="64">
        <f>SUM('Data cleaning'!U114+'Data cleaning'!V114+'Data cleaning'!Y114+'Data cleaning'!AC114)</f>
        <v>466.7</v>
      </c>
    </row>
    <row r="115" spans="1:13">
      <c r="A115" s="64" t="s">
        <v>34</v>
      </c>
      <c r="B115" s="64">
        <v>2016</v>
      </c>
      <c r="C115" s="64" t="s">
        <v>35</v>
      </c>
      <c r="D115" s="64">
        <f>SUM('Data cleaning'!D115+'Data cleaning'!E115+'Data cleaning'!F115+'Data cleaning'!G115+'Data cleaning'!H115+'Data cleaning'!I115+'Data cleaning'!J115+'Data cleaning'!K115+'Data cleaning'!L115+'Data cleaning'!O115+'Data cleaning'!P115+'Data cleaning'!M115)</f>
        <v>1555.1</v>
      </c>
      <c r="E115" s="64">
        <f>SUM('Data cleaning'!N115+'Data cleaning'!Q115+'Data cleaning'!AB115+'Data cleaning'!Z115)</f>
        <v>495.8</v>
      </c>
      <c r="F115" s="64">
        <f>SUM('Data cleaning'!R115+'Data cleaning'!S115+'Data cleaning'!T115)</f>
        <v>386.9</v>
      </c>
      <c r="G115" s="76">
        <f>SUM('Data cleaning'!U115+'Data cleaning'!W115)</f>
        <v>249</v>
      </c>
      <c r="H115" s="64">
        <v>123.1</v>
      </c>
      <c r="I115" s="64">
        <v>111.4</v>
      </c>
      <c r="J115" s="64">
        <v>126.6</v>
      </c>
      <c r="K115" s="64">
        <v>119.1</v>
      </c>
      <c r="L115" s="64">
        <v>126</v>
      </c>
      <c r="M115" s="64">
        <f>SUM('Data cleaning'!U115+'Data cleaning'!V115+'Data cleaning'!Y115+'Data cleaning'!AC115)</f>
        <v>478</v>
      </c>
    </row>
    <row r="116" spans="1:13">
      <c r="A116" s="64" t="s">
        <v>30</v>
      </c>
      <c r="B116" s="64">
        <v>2016</v>
      </c>
      <c r="C116" s="64" t="s">
        <v>36</v>
      </c>
      <c r="D116" s="64">
        <f>SUM('Data cleaning'!D116+'Data cleaning'!E116+'Data cleaning'!F116+'Data cleaning'!G116+'Data cleaning'!H116+'Data cleaning'!I116+'Data cleaning'!J116+'Data cleaning'!K116+'Data cleaning'!L116+'Data cleaning'!O116+'Data cleaning'!P116+'Data cleaning'!M116)</f>
        <v>1557.8000000000002</v>
      </c>
      <c r="E116" s="64">
        <f>SUM('Data cleaning'!N116+'Data cleaning'!Q116+'Data cleaning'!AB116+'Data cleaning'!Z116)</f>
        <v>499.79999999999995</v>
      </c>
      <c r="F116" s="64">
        <f>SUM('Data cleaning'!R116+'Data cleaning'!S116+'Data cleaning'!T116)</f>
        <v>398.40000000000003</v>
      </c>
      <c r="G116" s="76">
        <f>SUM('Data cleaning'!U116+'Data cleaning'!W116)</f>
        <v>252.60000000000002</v>
      </c>
      <c r="H116" s="64">
        <v>127</v>
      </c>
      <c r="I116" s="64">
        <v>113.6</v>
      </c>
      <c r="J116" s="64">
        <v>127.5</v>
      </c>
      <c r="K116" s="64">
        <v>121.1</v>
      </c>
      <c r="L116" s="64">
        <v>128</v>
      </c>
      <c r="M116" s="64">
        <f>SUM('Data cleaning'!U116+'Data cleaning'!V116+'Data cleaning'!Y116+'Data cleaning'!AC116)</f>
        <v>486.6</v>
      </c>
    </row>
    <row r="117" spans="1:13">
      <c r="A117" s="64" t="s">
        <v>33</v>
      </c>
      <c r="B117" s="64">
        <v>2016</v>
      </c>
      <c r="C117" s="64" t="s">
        <v>36</v>
      </c>
      <c r="D117" s="64">
        <f>SUM('Data cleaning'!D117+'Data cleaning'!E117+'Data cleaning'!F117+'Data cleaning'!G117+'Data cleaning'!H117+'Data cleaning'!I117+'Data cleaning'!J117+'Data cleaning'!K117+'Data cleaning'!L117+'Data cleaning'!O117+'Data cleaning'!P117+'Data cleaning'!M117)</f>
        <v>1546.9</v>
      </c>
      <c r="E117" s="64">
        <f>SUM('Data cleaning'!N117+'Data cleaning'!Q117+'Data cleaning'!AB117+'Data cleaning'!Z117)</f>
        <v>497.5</v>
      </c>
      <c r="F117" s="64">
        <f>SUM('Data cleaning'!R117+'Data cleaning'!S117+'Data cleaning'!T117)</f>
        <v>372.2</v>
      </c>
      <c r="G117" s="76">
        <f>SUM('Data cleaning'!U117+'Data cleaning'!W117)</f>
        <v>247.2</v>
      </c>
      <c r="H117" s="64">
        <v>114.8</v>
      </c>
      <c r="I117" s="64">
        <v>108.5</v>
      </c>
      <c r="J117" s="64">
        <v>126.4</v>
      </c>
      <c r="K117" s="64">
        <v>117.3</v>
      </c>
      <c r="L117" s="64">
        <v>123.8</v>
      </c>
      <c r="M117" s="64">
        <f>SUM('Data cleaning'!U117+'Data cleaning'!V117+'Data cleaning'!Y117+'Data cleaning'!AC117)</f>
        <v>465.5</v>
      </c>
    </row>
    <row r="118" spans="1:13">
      <c r="A118" s="64" t="s">
        <v>34</v>
      </c>
      <c r="B118" s="64">
        <v>2016</v>
      </c>
      <c r="C118" s="64" t="s">
        <v>36</v>
      </c>
      <c r="D118" s="64">
        <f>SUM('Data cleaning'!D118+'Data cleaning'!E118+'Data cleaning'!F118+'Data cleaning'!G118+'Data cleaning'!H118+'Data cleaning'!I118+'Data cleaning'!J118+'Data cleaning'!K118+'Data cleaning'!L118+'Data cleaning'!O118+'Data cleaning'!P118+'Data cleaning'!M118)</f>
        <v>1552.1000000000001</v>
      </c>
      <c r="E118" s="64">
        <f>SUM('Data cleaning'!N118+'Data cleaning'!Q118+'Data cleaning'!AB118+'Data cleaning'!Z118)</f>
        <v>497.5</v>
      </c>
      <c r="F118" s="64">
        <f>SUM('Data cleaning'!R118+'Data cleaning'!S118+'Data cleaning'!T118)</f>
        <v>387.9</v>
      </c>
      <c r="G118" s="76">
        <f>SUM('Data cleaning'!U118+'Data cleaning'!W118)</f>
        <v>250</v>
      </c>
      <c r="H118" s="64">
        <v>122.4</v>
      </c>
      <c r="I118" s="64">
        <v>110.9</v>
      </c>
      <c r="J118" s="64">
        <v>126.9</v>
      </c>
      <c r="K118" s="64">
        <v>119.3</v>
      </c>
      <c r="L118" s="64">
        <v>126</v>
      </c>
      <c r="M118" s="64">
        <f>SUM('Data cleaning'!U118+'Data cleaning'!V118+'Data cleaning'!Y118+'Data cleaning'!AC118)</f>
        <v>477.50000000000006</v>
      </c>
    </row>
    <row r="119" spans="1:13">
      <c r="A119" s="64" t="s">
        <v>30</v>
      </c>
      <c r="B119" s="64">
        <v>2016</v>
      </c>
      <c r="C119" s="64" t="s">
        <v>37</v>
      </c>
      <c r="D119" s="64">
        <f>SUM('Data cleaning'!D119+'Data cleaning'!E119+'Data cleaning'!F119+'Data cleaning'!G119+'Data cleaning'!H119+'Data cleaning'!I119+'Data cleaning'!J119+'Data cleaning'!K119+'Data cleaning'!L119+'Data cleaning'!O119+'Data cleaning'!P119+'Data cleaning'!M119)</f>
        <v>1576.2000000000003</v>
      </c>
      <c r="E119" s="64">
        <f>SUM('Data cleaning'!N119+'Data cleaning'!Q119+'Data cleaning'!AB119+'Data cleaning'!Z119)</f>
        <v>502.49999999999994</v>
      </c>
      <c r="F119" s="64">
        <f>SUM('Data cleaning'!R119+'Data cleaning'!S119+'Data cleaning'!T119)</f>
        <v>400</v>
      </c>
      <c r="G119" s="76">
        <f>SUM('Data cleaning'!U119+'Data cleaning'!W119)</f>
        <v>253.6</v>
      </c>
      <c r="H119" s="64">
        <v>127</v>
      </c>
      <c r="I119" s="64">
        <v>114.4</v>
      </c>
      <c r="J119" s="64">
        <v>127.9</v>
      </c>
      <c r="K119" s="64">
        <v>121.7</v>
      </c>
      <c r="L119" s="64">
        <v>129</v>
      </c>
      <c r="M119" s="64">
        <f>SUM('Data cleaning'!U119+'Data cleaning'!V119+'Data cleaning'!Y119+'Data cleaning'!AC119)</f>
        <v>488.7</v>
      </c>
    </row>
    <row r="120" spans="1:13">
      <c r="A120" s="64" t="s">
        <v>33</v>
      </c>
      <c r="B120" s="64">
        <v>2016</v>
      </c>
      <c r="C120" s="64" t="s">
        <v>37</v>
      </c>
      <c r="D120" s="64">
        <f>SUM('Data cleaning'!D120+'Data cleaning'!E120+'Data cleaning'!F120+'Data cleaning'!G120+'Data cleaning'!H120+'Data cleaning'!I120+'Data cleaning'!J120+'Data cleaning'!K120+'Data cleaning'!L120+'Data cleaning'!O120+'Data cleaning'!P120+'Data cleaning'!M120)</f>
        <v>1585.2</v>
      </c>
      <c r="E120" s="64">
        <f>SUM('Data cleaning'!N120+'Data cleaning'!Q120+'Data cleaning'!AB120+'Data cleaning'!Z120)</f>
        <v>499.70000000000005</v>
      </c>
      <c r="F120" s="64">
        <f>SUM('Data cleaning'!R120+'Data cleaning'!S120+'Data cleaning'!T120)</f>
        <v>373.1</v>
      </c>
      <c r="G120" s="76">
        <f>SUM('Data cleaning'!U120+'Data cleaning'!W120)</f>
        <v>248.39999999999998</v>
      </c>
      <c r="H120" s="64">
        <v>114.6</v>
      </c>
      <c r="I120" s="64">
        <v>110</v>
      </c>
      <c r="J120" s="64">
        <v>127.6</v>
      </c>
      <c r="K120" s="64">
        <v>118.2</v>
      </c>
      <c r="L120" s="64">
        <v>125.3</v>
      </c>
      <c r="M120" s="64">
        <f>SUM('Data cleaning'!U120+'Data cleaning'!V120+'Data cleaning'!Y120+'Data cleaning'!AC120)</f>
        <v>468.4</v>
      </c>
    </row>
    <row r="121" spans="1:13">
      <c r="A121" s="64" t="s">
        <v>34</v>
      </c>
      <c r="B121" s="64">
        <v>2016</v>
      </c>
      <c r="C121" s="64" t="s">
        <v>37</v>
      </c>
      <c r="D121" s="64">
        <f>SUM('Data cleaning'!D121+'Data cleaning'!E121+'Data cleaning'!F121+'Data cleaning'!G121+'Data cleaning'!H121+'Data cleaning'!I121+'Data cleaning'!J121+'Data cleaning'!K121+'Data cleaning'!L121+'Data cleaning'!O121+'Data cleaning'!P121+'Data cleaning'!M121)</f>
        <v>1577.7</v>
      </c>
      <c r="E121" s="64">
        <f>SUM('Data cleaning'!N121+'Data cleaning'!Q121+'Data cleaning'!AB121+'Data cleaning'!Z121)</f>
        <v>499.9</v>
      </c>
      <c r="F121" s="64">
        <f>SUM('Data cleaning'!R121+'Data cleaning'!S121+'Data cleaning'!T121)</f>
        <v>389.20000000000005</v>
      </c>
      <c r="G121" s="76">
        <f>SUM('Data cleaning'!U121+'Data cleaning'!W121)</f>
        <v>251.1</v>
      </c>
      <c r="H121" s="64">
        <v>122.3</v>
      </c>
      <c r="I121" s="64">
        <v>112.1</v>
      </c>
      <c r="J121" s="64">
        <v>127.7</v>
      </c>
      <c r="K121" s="64">
        <v>120</v>
      </c>
      <c r="L121" s="64">
        <v>127.3</v>
      </c>
      <c r="M121" s="64">
        <f>SUM('Data cleaning'!U121+'Data cleaning'!V121+'Data cleaning'!Y121+'Data cleaning'!AC121)</f>
        <v>480</v>
      </c>
    </row>
    <row r="122" spans="1:13">
      <c r="A122" s="64" t="s">
        <v>30</v>
      </c>
      <c r="B122" s="64">
        <v>2016</v>
      </c>
      <c r="C122" s="64" t="s">
        <v>38</v>
      </c>
      <c r="D122" s="64">
        <f>SUM('Data cleaning'!D122+'Data cleaning'!E122+'Data cleaning'!F122+'Data cleaning'!G122+'Data cleaning'!H122+'Data cleaning'!I122+'Data cleaning'!J122+'Data cleaning'!K122+'Data cleaning'!L122+'Data cleaning'!O122+'Data cleaning'!P122+'Data cleaning'!M122)</f>
        <v>1597.6</v>
      </c>
      <c r="E122" s="64">
        <f>SUM('Data cleaning'!N122+'Data cleaning'!Q122+'Data cleaning'!AB122+'Data cleaning'!Z122)</f>
        <v>505.4</v>
      </c>
      <c r="F122" s="64">
        <f>SUM('Data cleaning'!R122+'Data cleaning'!S122+'Data cleaning'!T122)</f>
        <v>401.3</v>
      </c>
      <c r="G122" s="76">
        <f>SUM('Data cleaning'!U122+'Data cleaning'!W122)</f>
        <v>254.5</v>
      </c>
      <c r="H122" s="64">
        <v>127.4</v>
      </c>
      <c r="I122" s="64">
        <v>115.1</v>
      </c>
      <c r="J122" s="64">
        <v>129.1</v>
      </c>
      <c r="K122" s="64">
        <v>122.5</v>
      </c>
      <c r="L122" s="64">
        <v>130.30000000000001</v>
      </c>
      <c r="M122" s="64">
        <f>SUM('Data cleaning'!U122+'Data cleaning'!V122+'Data cleaning'!Y122+'Data cleaning'!AC122)</f>
        <v>491</v>
      </c>
    </row>
    <row r="123" spans="1:13">
      <c r="A123" s="64" t="s">
        <v>33</v>
      </c>
      <c r="B123" s="64">
        <v>2016</v>
      </c>
      <c r="C123" s="64" t="s">
        <v>38</v>
      </c>
      <c r="D123" s="64">
        <f>SUM('Data cleaning'!D123+'Data cleaning'!E123+'Data cleaning'!F123+'Data cleaning'!G123+'Data cleaning'!H123+'Data cleaning'!I123+'Data cleaning'!J123+'Data cleaning'!K123+'Data cleaning'!L123+'Data cleaning'!O123+'Data cleaning'!P123+'Data cleaning'!M123)</f>
        <v>1625.2999999999997</v>
      </c>
      <c r="E123" s="64">
        <f>SUM('Data cleaning'!N123+'Data cleaning'!Q123+'Data cleaning'!AB123+'Data cleaning'!Z123)</f>
        <v>502</v>
      </c>
      <c r="F123" s="64">
        <f>SUM('Data cleaning'!R123+'Data cleaning'!S123+'Data cleaning'!T123)</f>
        <v>374.1</v>
      </c>
      <c r="G123" s="76">
        <f>SUM('Data cleaning'!U123+'Data cleaning'!W123)</f>
        <v>249.2</v>
      </c>
      <c r="H123" s="64">
        <v>115</v>
      </c>
      <c r="I123" s="64">
        <v>110.7</v>
      </c>
      <c r="J123" s="64">
        <v>128</v>
      </c>
      <c r="K123" s="64">
        <v>118.7</v>
      </c>
      <c r="L123" s="64">
        <v>126.6</v>
      </c>
      <c r="M123" s="64">
        <f>SUM('Data cleaning'!U123+'Data cleaning'!V123+'Data cleaning'!Y123+'Data cleaning'!AC123)</f>
        <v>470.4</v>
      </c>
    </row>
    <row r="124" spans="1:13">
      <c r="A124" s="64" t="s">
        <v>34</v>
      </c>
      <c r="B124" s="64">
        <v>2016</v>
      </c>
      <c r="C124" s="64" t="s">
        <v>38</v>
      </c>
      <c r="D124" s="64">
        <f>SUM('Data cleaning'!D124+'Data cleaning'!E124+'Data cleaning'!F124+'Data cleaning'!G124+'Data cleaning'!H124+'Data cleaning'!I124+'Data cleaning'!J124+'Data cleaning'!K124+'Data cleaning'!L124+'Data cleaning'!O124+'Data cleaning'!P124+'Data cleaning'!M124)</f>
        <v>1606.2</v>
      </c>
      <c r="E124" s="64">
        <f>SUM('Data cleaning'!N124+'Data cleaning'!Q124+'Data cleaning'!AB124+'Data cleaning'!Z124)</f>
        <v>502.59999999999997</v>
      </c>
      <c r="F124" s="64">
        <f>SUM('Data cleaning'!R124+'Data cleaning'!S124+'Data cleaning'!T124)</f>
        <v>390.4</v>
      </c>
      <c r="G124" s="76">
        <f>SUM('Data cleaning'!U124+'Data cleaning'!W124)</f>
        <v>252</v>
      </c>
      <c r="H124" s="64">
        <v>122.7</v>
      </c>
      <c r="I124" s="64">
        <v>112.8</v>
      </c>
      <c r="J124" s="64">
        <v>128.5</v>
      </c>
      <c r="K124" s="64">
        <v>120.7</v>
      </c>
      <c r="L124" s="64">
        <v>128.6</v>
      </c>
      <c r="M124" s="64">
        <f>SUM('Data cleaning'!U124+'Data cleaning'!V124+'Data cleaning'!Y124+'Data cleaning'!AC124)</f>
        <v>482.2</v>
      </c>
    </row>
    <row r="125" spans="1:13">
      <c r="A125" s="64" t="s">
        <v>30</v>
      </c>
      <c r="B125" s="64">
        <v>2016</v>
      </c>
      <c r="C125" s="64" t="s">
        <v>39</v>
      </c>
      <c r="D125" s="64">
        <f>SUM('Data cleaning'!D125+'Data cleaning'!E125+'Data cleaning'!F125+'Data cleaning'!G125+'Data cleaning'!H125+'Data cleaning'!I125+'Data cleaning'!J125+'Data cleaning'!K125+'Data cleaning'!L125+'Data cleaning'!O125+'Data cleaning'!P125+'Data cleaning'!M125)</f>
        <v>1622.1999999999998</v>
      </c>
      <c r="E125" s="64">
        <f>SUM('Data cleaning'!N125+'Data cleaning'!Q125+'Data cleaning'!AB125+'Data cleaning'!Z125)</f>
        <v>507.6</v>
      </c>
      <c r="F125" s="64">
        <f>SUM('Data cleaning'!R125+'Data cleaning'!S125+'Data cleaning'!T125)</f>
        <v>403.5</v>
      </c>
      <c r="G125" s="76">
        <f>SUM('Data cleaning'!U125+'Data cleaning'!W125)</f>
        <v>254.8</v>
      </c>
      <c r="H125" s="64">
        <v>128</v>
      </c>
      <c r="I125" s="64">
        <v>116.3</v>
      </c>
      <c r="J125" s="64">
        <v>130.19999999999999</v>
      </c>
      <c r="K125" s="64">
        <v>123.3</v>
      </c>
      <c r="L125" s="64">
        <v>131.9</v>
      </c>
      <c r="M125" s="64">
        <f>SUM('Data cleaning'!U125+'Data cleaning'!V125+'Data cleaning'!Y125+'Data cleaning'!AC125)</f>
        <v>493.1</v>
      </c>
    </row>
    <row r="126" spans="1:13">
      <c r="A126" s="64" t="s">
        <v>33</v>
      </c>
      <c r="B126" s="64">
        <v>2016</v>
      </c>
      <c r="C126" s="64" t="s">
        <v>39</v>
      </c>
      <c r="D126" s="64">
        <f>SUM('Data cleaning'!D126+'Data cleaning'!E126+'Data cleaning'!F126+'Data cleaning'!G126+'Data cleaning'!H126+'Data cleaning'!I126+'Data cleaning'!J126+'Data cleaning'!K126+'Data cleaning'!L126+'Data cleaning'!O126+'Data cleaning'!P126+'Data cleaning'!M126)</f>
        <v>1665.4000000000003</v>
      </c>
      <c r="E126" s="64">
        <f>SUM('Data cleaning'!N126+'Data cleaning'!Q126+'Data cleaning'!AB126+'Data cleaning'!Z126)</f>
        <v>503</v>
      </c>
      <c r="F126" s="64">
        <f>SUM('Data cleaning'!R126+'Data cleaning'!S126+'Data cleaning'!T126)</f>
        <v>375.29999999999995</v>
      </c>
      <c r="G126" s="76">
        <f>SUM('Data cleaning'!U126+'Data cleaning'!W126)</f>
        <v>248.7</v>
      </c>
      <c r="H126" s="64">
        <v>115.5</v>
      </c>
      <c r="I126" s="64">
        <v>112.3</v>
      </c>
      <c r="J126" s="64">
        <v>129.30000000000001</v>
      </c>
      <c r="K126" s="64">
        <v>119.6</v>
      </c>
      <c r="L126" s="64">
        <v>128.1</v>
      </c>
      <c r="M126" s="64">
        <f>SUM('Data cleaning'!U126+'Data cleaning'!V126+'Data cleaning'!Y126+'Data cleaning'!AC126)</f>
        <v>472.9</v>
      </c>
    </row>
    <row r="127" spans="1:13">
      <c r="A127" s="64" t="s">
        <v>34</v>
      </c>
      <c r="B127" s="64">
        <v>2016</v>
      </c>
      <c r="C127" s="64" t="s">
        <v>39</v>
      </c>
      <c r="D127" s="64">
        <f>SUM('Data cleaning'!D127+'Data cleaning'!E127+'Data cleaning'!F127+'Data cleaning'!G127+'Data cleaning'!H127+'Data cleaning'!I127+'Data cleaning'!J127+'Data cleaning'!K127+'Data cleaning'!L127+'Data cleaning'!O127+'Data cleaning'!P127+'Data cleaning'!M127)</f>
        <v>1636.1999999999998</v>
      </c>
      <c r="E127" s="64">
        <f>SUM('Data cleaning'!N127+'Data cleaning'!Q127+'Data cleaning'!AB127+'Data cleaning'!Z127)</f>
        <v>504.2</v>
      </c>
      <c r="F127" s="64">
        <f>SUM('Data cleaning'!R127+'Data cleaning'!S127+'Data cleaning'!T127)</f>
        <v>392.1</v>
      </c>
      <c r="G127" s="76">
        <f>SUM('Data cleaning'!U127+'Data cleaning'!W127)</f>
        <v>251.9</v>
      </c>
      <c r="H127" s="64">
        <v>123.3</v>
      </c>
      <c r="I127" s="64">
        <v>114.2</v>
      </c>
      <c r="J127" s="64">
        <v>129.69999999999999</v>
      </c>
      <c r="K127" s="64">
        <v>121.5</v>
      </c>
      <c r="L127" s="64">
        <v>130.1</v>
      </c>
      <c r="M127" s="64">
        <f>SUM('Data cleaning'!U127+'Data cleaning'!V127+'Data cleaning'!Y127+'Data cleaning'!AC127)</f>
        <v>484.5</v>
      </c>
    </row>
    <row r="128" spans="1:13">
      <c r="A128" s="64" t="s">
        <v>30</v>
      </c>
      <c r="B128" s="64">
        <v>2016</v>
      </c>
      <c r="C128" s="64" t="s">
        <v>40</v>
      </c>
      <c r="D128" s="64">
        <f>SUM('Data cleaning'!D128+'Data cleaning'!E128+'Data cleaning'!F128+'Data cleaning'!G128+'Data cleaning'!H128+'Data cleaning'!I128+'Data cleaning'!J128+'Data cleaning'!K128+'Data cleaning'!L128+'Data cleaning'!O128+'Data cleaning'!P128+'Data cleaning'!M128)</f>
        <v>1642.9999999999998</v>
      </c>
      <c r="E128" s="64">
        <f>SUM('Data cleaning'!N128+'Data cleaning'!Q128+'Data cleaning'!AB128+'Data cleaning'!Z128)</f>
        <v>511.40000000000003</v>
      </c>
      <c r="F128" s="64">
        <f>SUM('Data cleaning'!R128+'Data cleaning'!S128+'Data cleaning'!T128)</f>
        <v>405.9</v>
      </c>
      <c r="G128" s="76">
        <f>SUM('Data cleaning'!U128+'Data cleaning'!W128)</f>
        <v>256.39999999999998</v>
      </c>
      <c r="H128" s="64">
        <v>128.19999999999999</v>
      </c>
      <c r="I128" s="64">
        <v>116.4</v>
      </c>
      <c r="J128" s="64">
        <v>130.80000000000001</v>
      </c>
      <c r="K128" s="64">
        <v>123.8</v>
      </c>
      <c r="L128" s="64">
        <v>133</v>
      </c>
      <c r="M128" s="64">
        <f>SUM('Data cleaning'!U128+'Data cleaning'!V128+'Data cleaning'!Y128+'Data cleaning'!AC128)</f>
        <v>494.8</v>
      </c>
    </row>
    <row r="129" spans="1:13">
      <c r="A129" s="64" t="s">
        <v>33</v>
      </c>
      <c r="B129" s="64">
        <v>2016</v>
      </c>
      <c r="C129" s="64" t="s">
        <v>40</v>
      </c>
      <c r="D129" s="64">
        <f>SUM('Data cleaning'!D129+'Data cleaning'!E129+'Data cleaning'!F129+'Data cleaning'!G129+'Data cleaning'!H129+'Data cleaning'!I129+'Data cleaning'!J129+'Data cleaning'!K129+'Data cleaning'!L129+'Data cleaning'!O129+'Data cleaning'!P129+'Data cleaning'!M129)</f>
        <v>1689.8000000000002</v>
      </c>
      <c r="E129" s="64">
        <f>SUM('Data cleaning'!N129+'Data cleaning'!Q129+'Data cleaning'!AB129+'Data cleaning'!Z129)</f>
        <v>504.90000000000003</v>
      </c>
      <c r="F129" s="64">
        <f>SUM('Data cleaning'!R129+'Data cleaning'!S129+'Data cleaning'!T129)</f>
        <v>375.9</v>
      </c>
      <c r="G129" s="76">
        <f>SUM('Data cleaning'!U129+'Data cleaning'!W129)</f>
        <v>249.9</v>
      </c>
      <c r="H129" s="64">
        <v>115.5</v>
      </c>
      <c r="I129" s="64">
        <v>111.7</v>
      </c>
      <c r="J129" s="64">
        <v>130.80000000000001</v>
      </c>
      <c r="K129" s="64">
        <v>119.9</v>
      </c>
      <c r="L129" s="64">
        <v>129</v>
      </c>
      <c r="M129" s="64">
        <f>SUM('Data cleaning'!U129+'Data cleaning'!V129+'Data cleaning'!Y129+'Data cleaning'!AC129)</f>
        <v>473.5</v>
      </c>
    </row>
    <row r="130" spans="1:13">
      <c r="A130" s="64" t="s">
        <v>34</v>
      </c>
      <c r="B130" s="64">
        <v>2016</v>
      </c>
      <c r="C130" s="64" t="s">
        <v>40</v>
      </c>
      <c r="D130" s="64">
        <f>SUM('Data cleaning'!D130+'Data cleaning'!E130+'Data cleaning'!F130+'Data cleaning'!G130+'Data cleaning'!H130+'Data cleaning'!I130+'Data cleaning'!J130+'Data cleaning'!K130+'Data cleaning'!L130+'Data cleaning'!O130+'Data cleaning'!P130+'Data cleaning'!M130)</f>
        <v>1658.5</v>
      </c>
      <c r="E130" s="64">
        <f>SUM('Data cleaning'!N130+'Data cleaning'!Q130+'Data cleaning'!AB130+'Data cleaning'!Z130)</f>
        <v>507.20000000000005</v>
      </c>
      <c r="F130" s="64">
        <f>SUM('Data cleaning'!R130+'Data cleaning'!S130+'Data cleaning'!T130)</f>
        <v>393.8</v>
      </c>
      <c r="G130" s="76">
        <f>SUM('Data cleaning'!U130+'Data cleaning'!W130)</f>
        <v>253.3</v>
      </c>
      <c r="H130" s="64">
        <v>123.4</v>
      </c>
      <c r="I130" s="64">
        <v>113.9</v>
      </c>
      <c r="J130" s="64">
        <v>130.80000000000001</v>
      </c>
      <c r="K130" s="64">
        <v>121.9</v>
      </c>
      <c r="L130" s="64">
        <v>131.1</v>
      </c>
      <c r="M130" s="64">
        <f>SUM('Data cleaning'!U130+'Data cleaning'!V130+'Data cleaning'!Y130+'Data cleaning'!AC130)</f>
        <v>485.6</v>
      </c>
    </row>
    <row r="131" spans="1:13">
      <c r="A131" s="64" t="s">
        <v>30</v>
      </c>
      <c r="B131" s="64">
        <v>2016</v>
      </c>
      <c r="C131" s="64" t="s">
        <v>41</v>
      </c>
      <c r="D131" s="64">
        <f>SUM('Data cleaning'!D131+'Data cleaning'!E131+'Data cleaning'!F131+'Data cleaning'!G131+'Data cleaning'!H131+'Data cleaning'!I131+'Data cleaning'!J131+'Data cleaning'!K131+'Data cleaning'!L131+'Data cleaning'!O131+'Data cleaning'!P131+'Data cleaning'!M131)</f>
        <v>1649.3999999999999</v>
      </c>
      <c r="E131" s="64">
        <f>SUM('Data cleaning'!N131+'Data cleaning'!Q131+'Data cleaning'!AB131+'Data cleaning'!Z131)</f>
        <v>514.5</v>
      </c>
      <c r="F131" s="64">
        <f>SUM('Data cleaning'!R131+'Data cleaning'!S131+'Data cleaning'!T131)</f>
        <v>407.9</v>
      </c>
      <c r="G131" s="76">
        <f>SUM('Data cleaning'!U131+'Data cleaning'!W131)</f>
        <v>257.89999999999998</v>
      </c>
      <c r="H131" s="64">
        <v>129.1</v>
      </c>
      <c r="I131" s="64">
        <v>116</v>
      </c>
      <c r="J131" s="64">
        <v>131.9</v>
      </c>
      <c r="K131" s="64">
        <v>124.2</v>
      </c>
      <c r="L131" s="64">
        <v>133.5</v>
      </c>
      <c r="M131" s="64">
        <f>SUM('Data cleaning'!U131+'Data cleaning'!V131+'Data cleaning'!Y131+'Data cleaning'!AC131)</f>
        <v>496.59999999999997</v>
      </c>
    </row>
    <row r="132" spans="1:13">
      <c r="A132" s="64" t="s">
        <v>33</v>
      </c>
      <c r="B132" s="64">
        <v>2016</v>
      </c>
      <c r="C132" s="64" t="s">
        <v>41</v>
      </c>
      <c r="D132" s="64">
        <f>SUM('Data cleaning'!D132+'Data cleaning'!E132+'Data cleaning'!F132+'Data cleaning'!G132+'Data cleaning'!H132+'Data cleaning'!I132+'Data cleaning'!J132+'Data cleaning'!K132+'Data cleaning'!L132+'Data cleaning'!O132+'Data cleaning'!P132+'Data cleaning'!M132)</f>
        <v>1662.0999999999995</v>
      </c>
      <c r="E132" s="64">
        <f>SUM('Data cleaning'!N132+'Data cleaning'!Q132+'Data cleaning'!AB132+'Data cleaning'!Z132)</f>
        <v>507</v>
      </c>
      <c r="F132" s="64">
        <f>SUM('Data cleaning'!R132+'Data cleaning'!S132+'Data cleaning'!T132)</f>
        <v>377</v>
      </c>
      <c r="G132" s="76">
        <f>SUM('Data cleaning'!U132+'Data cleaning'!W132)</f>
        <v>251.2</v>
      </c>
      <c r="H132" s="64">
        <v>114.7</v>
      </c>
      <c r="I132" s="64">
        <v>110.4</v>
      </c>
      <c r="J132" s="64">
        <v>131.5</v>
      </c>
      <c r="K132" s="64">
        <v>119.9</v>
      </c>
      <c r="L132" s="64">
        <v>128.4</v>
      </c>
      <c r="M132" s="64">
        <f>SUM('Data cleaning'!U132+'Data cleaning'!V132+'Data cleaning'!Y132+'Data cleaning'!AC132)</f>
        <v>472.29999999999995</v>
      </c>
    </row>
    <row r="133" spans="1:13">
      <c r="A133" s="64" t="s">
        <v>34</v>
      </c>
      <c r="B133" s="64">
        <v>2016</v>
      </c>
      <c r="C133" s="64" t="s">
        <v>41</v>
      </c>
      <c r="D133" s="64">
        <f>SUM('Data cleaning'!D133+'Data cleaning'!E133+'Data cleaning'!F133+'Data cleaning'!G133+'Data cleaning'!H133+'Data cleaning'!I133+'Data cleaning'!J133+'Data cleaning'!K133+'Data cleaning'!L133+'Data cleaning'!O133+'Data cleaning'!P133+'Data cleaning'!M133)</f>
        <v>1652.4</v>
      </c>
      <c r="E133" s="64">
        <f>SUM('Data cleaning'!N133+'Data cleaning'!Q133+'Data cleaning'!AB133+'Data cleaning'!Z133)</f>
        <v>509.9</v>
      </c>
      <c r="F133" s="64">
        <f>SUM('Data cleaning'!R133+'Data cleaning'!S133+'Data cleaning'!T133)</f>
        <v>395.49999999999994</v>
      </c>
      <c r="G133" s="76">
        <f>SUM('Data cleaning'!U133+'Data cleaning'!W133)</f>
        <v>254.7</v>
      </c>
      <c r="H133" s="64">
        <v>123.6</v>
      </c>
      <c r="I133" s="64">
        <v>113.1</v>
      </c>
      <c r="J133" s="64">
        <v>131.69999999999999</v>
      </c>
      <c r="K133" s="64">
        <v>122.1</v>
      </c>
      <c r="L133" s="64">
        <v>131.1</v>
      </c>
      <c r="M133" s="64">
        <f>SUM('Data cleaning'!U133+'Data cleaning'!V133+'Data cleaning'!Y133+'Data cleaning'!AC133)</f>
        <v>486.1</v>
      </c>
    </row>
    <row r="134" spans="1:13">
      <c r="A134" s="64" t="s">
        <v>30</v>
      </c>
      <c r="B134" s="64">
        <v>2016</v>
      </c>
      <c r="C134" s="64" t="s">
        <v>42</v>
      </c>
      <c r="D134" s="64">
        <f>SUM('Data cleaning'!D134+'Data cleaning'!E134+'Data cleaning'!F134+'Data cleaning'!G134+'Data cleaning'!H134+'Data cleaning'!I134+'Data cleaning'!J134+'Data cleaning'!K134+'Data cleaning'!L134+'Data cleaning'!O134+'Data cleaning'!P134+'Data cleaning'!M134)</f>
        <v>1641.9</v>
      </c>
      <c r="E134" s="64">
        <f>SUM('Data cleaning'!N134+'Data cleaning'!Q134+'Data cleaning'!AB134+'Data cleaning'!Z134)</f>
        <v>517.20000000000005</v>
      </c>
      <c r="F134" s="64">
        <f>SUM('Data cleaning'!R134+'Data cleaning'!S134+'Data cleaning'!T134)</f>
        <v>409.8</v>
      </c>
      <c r="G134" s="76">
        <f>SUM('Data cleaning'!U134+'Data cleaning'!W134)</f>
        <v>259</v>
      </c>
      <c r="H134" s="64">
        <v>129.69999999999999</v>
      </c>
      <c r="I134" s="64">
        <v>117</v>
      </c>
      <c r="J134" s="64">
        <v>132.19999999999999</v>
      </c>
      <c r="K134" s="64">
        <v>124.9</v>
      </c>
      <c r="L134" s="64">
        <v>133.4</v>
      </c>
      <c r="M134" s="64">
        <f>SUM('Data cleaning'!U134+'Data cleaning'!V134+'Data cleaning'!Y134+'Data cleaning'!AC134)</f>
        <v>499.5</v>
      </c>
    </row>
    <row r="135" spans="1:13">
      <c r="A135" s="64" t="s">
        <v>33</v>
      </c>
      <c r="B135" s="64">
        <v>2016</v>
      </c>
      <c r="C135" s="64" t="s">
        <v>42</v>
      </c>
      <c r="D135" s="64">
        <f>SUM('Data cleaning'!D135+'Data cleaning'!E135+'Data cleaning'!F135+'Data cleaning'!G135+'Data cleaning'!H135+'Data cleaning'!I135+'Data cleaning'!J135+'Data cleaning'!K135+'Data cleaning'!L135+'Data cleaning'!O135+'Data cleaning'!P135+'Data cleaning'!M135)</f>
        <v>1634.2999999999997</v>
      </c>
      <c r="E135" s="64">
        <f>SUM('Data cleaning'!N135+'Data cleaning'!Q135+'Data cleaning'!AB135+'Data cleaning'!Z135)</f>
        <v>508</v>
      </c>
      <c r="F135" s="64">
        <f>SUM('Data cleaning'!R135+'Data cleaning'!S135+'Data cleaning'!T135)</f>
        <v>378</v>
      </c>
      <c r="G135" s="76">
        <f>SUM('Data cleaning'!U135+'Data cleaning'!W135)</f>
        <v>252.2</v>
      </c>
      <c r="H135" s="64">
        <v>114.8</v>
      </c>
      <c r="I135" s="64">
        <v>111.8</v>
      </c>
      <c r="J135" s="64">
        <v>131.6</v>
      </c>
      <c r="K135" s="64">
        <v>120.5</v>
      </c>
      <c r="L135" s="64">
        <v>128</v>
      </c>
      <c r="M135" s="64">
        <f>SUM('Data cleaning'!U135+'Data cleaning'!V135+'Data cleaning'!Y135+'Data cleaning'!AC135)</f>
        <v>475</v>
      </c>
    </row>
    <row r="136" spans="1:13">
      <c r="A136" s="64" t="s">
        <v>34</v>
      </c>
      <c r="B136" s="64">
        <v>2016</v>
      </c>
      <c r="C136" s="64" t="s">
        <v>42</v>
      </c>
      <c r="D136" s="64">
        <f>SUM('Data cleaning'!D136+'Data cleaning'!E136+'Data cleaning'!F136+'Data cleaning'!G136+'Data cleaning'!H136+'Data cleaning'!I136+'Data cleaning'!J136+'Data cleaning'!K136+'Data cleaning'!L136+'Data cleaning'!O136+'Data cleaning'!P136+'Data cleaning'!M136)</f>
        <v>1637.6999999999998</v>
      </c>
      <c r="E136" s="64">
        <f>SUM('Data cleaning'!N136+'Data cleaning'!Q136+'Data cleaning'!AB136+'Data cleaning'!Z136)</f>
        <v>512</v>
      </c>
      <c r="F136" s="64">
        <f>SUM('Data cleaning'!R136+'Data cleaning'!S136+'Data cleaning'!T136)</f>
        <v>397</v>
      </c>
      <c r="G136" s="76">
        <f>SUM('Data cleaning'!U136+'Data cleaning'!W136)</f>
        <v>255.8</v>
      </c>
      <c r="H136" s="64">
        <v>124.1</v>
      </c>
      <c r="I136" s="64">
        <v>114.3</v>
      </c>
      <c r="J136" s="64">
        <v>131.80000000000001</v>
      </c>
      <c r="K136" s="64">
        <v>122.8</v>
      </c>
      <c r="L136" s="64">
        <v>130.9</v>
      </c>
      <c r="M136" s="64">
        <f>SUM('Data cleaning'!U136+'Data cleaning'!V136+'Data cleaning'!Y136+'Data cleaning'!AC136)</f>
        <v>489.1</v>
      </c>
    </row>
    <row r="137" spans="1:13">
      <c r="A137" s="64" t="s">
        <v>30</v>
      </c>
      <c r="B137" s="64">
        <v>2016</v>
      </c>
      <c r="C137" s="64" t="s">
        <v>43</v>
      </c>
      <c r="D137" s="64">
        <f>SUM('Data cleaning'!D137+'Data cleaning'!E137+'Data cleaning'!F137+'Data cleaning'!G137+'Data cleaning'!H137+'Data cleaning'!I137+'Data cleaning'!J137+'Data cleaning'!K137+'Data cleaning'!L137+'Data cleaning'!O137+'Data cleaning'!P137+'Data cleaning'!M137)</f>
        <v>1643.1000000000001</v>
      </c>
      <c r="E137" s="64">
        <f>SUM('Data cleaning'!N137+'Data cleaning'!Q137+'Data cleaning'!AB137+'Data cleaning'!Z137)</f>
        <v>519.1</v>
      </c>
      <c r="F137" s="64">
        <f>SUM('Data cleaning'!R137+'Data cleaning'!S137+'Data cleaning'!T137)</f>
        <v>412.7</v>
      </c>
      <c r="G137" s="76">
        <f>SUM('Data cleaning'!U137+'Data cleaning'!W137)</f>
        <v>260.5</v>
      </c>
      <c r="H137" s="64">
        <v>129.80000000000001</v>
      </c>
      <c r="I137" s="64">
        <v>117.8</v>
      </c>
      <c r="J137" s="64">
        <v>133</v>
      </c>
      <c r="K137" s="64">
        <v>125.7</v>
      </c>
      <c r="L137" s="64">
        <v>133.80000000000001</v>
      </c>
      <c r="M137" s="64">
        <f>SUM('Data cleaning'!U137+'Data cleaning'!V137+'Data cleaning'!Y137+'Data cleaning'!AC137)</f>
        <v>502</v>
      </c>
    </row>
    <row r="138" spans="1:13">
      <c r="A138" s="64" t="s">
        <v>33</v>
      </c>
      <c r="B138" s="64">
        <v>2016</v>
      </c>
      <c r="C138" s="64" t="s">
        <v>43</v>
      </c>
      <c r="D138" s="64">
        <f>SUM('Data cleaning'!D138+'Data cleaning'!E138+'Data cleaning'!F138+'Data cleaning'!G138+'Data cleaning'!H138+'Data cleaning'!I138+'Data cleaning'!J138+'Data cleaning'!K138+'Data cleaning'!L138+'Data cleaning'!O138+'Data cleaning'!P138+'Data cleaning'!M138)</f>
        <v>1640.3999999999999</v>
      </c>
      <c r="E138" s="64">
        <f>SUM('Data cleaning'!N138+'Data cleaning'!Q138+'Data cleaning'!AB138+'Data cleaning'!Z138)</f>
        <v>508.8</v>
      </c>
      <c r="F138" s="64">
        <f>SUM('Data cleaning'!R138+'Data cleaning'!S138+'Data cleaning'!T138)</f>
        <v>379</v>
      </c>
      <c r="G138" s="76">
        <f>SUM('Data cleaning'!U138+'Data cleaning'!W138)</f>
        <v>253.2</v>
      </c>
      <c r="H138" s="64">
        <v>115.2</v>
      </c>
      <c r="I138" s="64">
        <v>112.8</v>
      </c>
      <c r="J138" s="64">
        <v>131.9</v>
      </c>
      <c r="K138" s="64">
        <v>120.9</v>
      </c>
      <c r="L138" s="64">
        <v>128.6</v>
      </c>
      <c r="M138" s="64">
        <f>SUM('Data cleaning'!U138+'Data cleaning'!V138+'Data cleaning'!Y138+'Data cleaning'!AC138)</f>
        <v>477.6</v>
      </c>
    </row>
    <row r="139" spans="1:13">
      <c r="A139" s="64" t="s">
        <v>34</v>
      </c>
      <c r="B139" s="64">
        <v>2016</v>
      </c>
      <c r="C139" s="64" t="s">
        <v>43</v>
      </c>
      <c r="D139" s="64">
        <f>SUM('Data cleaning'!D139+'Data cleaning'!E139+'Data cleaning'!F139+'Data cleaning'!G139+'Data cleaning'!H139+'Data cleaning'!I139+'Data cleaning'!J139+'Data cleaning'!K139+'Data cleaning'!L139+'Data cleaning'!O139+'Data cleaning'!P139+'Data cleaning'!M139)</f>
        <v>1640.6999999999996</v>
      </c>
      <c r="E139" s="64">
        <f>SUM('Data cleaning'!N139+'Data cleaning'!Q139+'Data cleaning'!AB139+'Data cleaning'!Z139)</f>
        <v>513.5</v>
      </c>
      <c r="F139" s="64">
        <f>SUM('Data cleaning'!R139+'Data cleaning'!S139+'Data cleaning'!T139)</f>
        <v>399.1</v>
      </c>
      <c r="G139" s="76">
        <f>SUM('Data cleaning'!U139+'Data cleaning'!W139)</f>
        <v>257.10000000000002</v>
      </c>
      <c r="H139" s="64">
        <v>124.3</v>
      </c>
      <c r="I139" s="64">
        <v>115.2</v>
      </c>
      <c r="J139" s="64">
        <v>132.4</v>
      </c>
      <c r="K139" s="64">
        <v>123.4</v>
      </c>
      <c r="L139" s="64">
        <v>131.4</v>
      </c>
      <c r="M139" s="64">
        <f>SUM('Data cleaning'!U139+'Data cleaning'!V139+'Data cleaning'!Y139+'Data cleaning'!AC139)</f>
        <v>491.6</v>
      </c>
    </row>
    <row r="140" spans="1:13">
      <c r="A140" s="64" t="s">
        <v>30</v>
      </c>
      <c r="B140" s="64">
        <v>2016</v>
      </c>
      <c r="C140" s="64" t="s">
        <v>45</v>
      </c>
      <c r="D140" s="64">
        <f>SUM('Data cleaning'!D140+'Data cleaning'!E140+'Data cleaning'!F140+'Data cleaning'!G140+'Data cleaning'!H140+'Data cleaning'!I140+'Data cleaning'!J140+'Data cleaning'!K140+'Data cleaning'!L140+'Data cleaning'!O140+'Data cleaning'!P140+'Data cleaning'!M140)</f>
        <v>1635.8999999999999</v>
      </c>
      <c r="E140" s="64">
        <f>SUM('Data cleaning'!N140+'Data cleaning'!Q140+'Data cleaning'!AB140+'Data cleaning'!Z140)</f>
        <v>520.29999999999995</v>
      </c>
      <c r="F140" s="64">
        <f>SUM('Data cleaning'!R140+'Data cleaning'!S140+'Data cleaning'!T140)</f>
        <v>413.59999999999997</v>
      </c>
      <c r="G140" s="76">
        <f>SUM('Data cleaning'!U140+'Data cleaning'!W140)</f>
        <v>261.2</v>
      </c>
      <c r="H140" s="64">
        <v>130.30000000000001</v>
      </c>
      <c r="I140" s="64">
        <v>118.2</v>
      </c>
      <c r="J140" s="64">
        <v>133.69999999999999</v>
      </c>
      <c r="K140" s="64">
        <v>126.1</v>
      </c>
      <c r="L140" s="64">
        <v>133.6</v>
      </c>
      <c r="M140" s="64">
        <f>SUM('Data cleaning'!U140+'Data cleaning'!V140+'Data cleaning'!Y140+'Data cleaning'!AC140)</f>
        <v>503.69999999999993</v>
      </c>
    </row>
    <row r="141" spans="1:13">
      <c r="A141" s="64" t="s">
        <v>33</v>
      </c>
      <c r="B141" s="64">
        <v>2016</v>
      </c>
      <c r="C141" s="64" t="s">
        <v>45</v>
      </c>
      <c r="D141" s="64">
        <f>SUM('Data cleaning'!D141+'Data cleaning'!E141+'Data cleaning'!F141+'Data cleaning'!G141+'Data cleaning'!H141+'Data cleaning'!I141+'Data cleaning'!J141+'Data cleaning'!K141+'Data cleaning'!L141+'Data cleaning'!O141+'Data cleaning'!P141+'Data cleaning'!M141)</f>
        <v>1632.5</v>
      </c>
      <c r="E141" s="64">
        <f>SUM('Data cleaning'!N141+'Data cleaning'!Q141+'Data cleaning'!AB141+'Data cleaning'!Z141)</f>
        <v>510</v>
      </c>
      <c r="F141" s="64">
        <f>SUM('Data cleaning'!R141+'Data cleaning'!S141+'Data cleaning'!T141)</f>
        <v>380.2</v>
      </c>
      <c r="G141" s="76">
        <f>SUM('Data cleaning'!U141+'Data cleaning'!W141)</f>
        <v>253.8</v>
      </c>
      <c r="H141" s="64">
        <v>116.2</v>
      </c>
      <c r="I141" s="64">
        <v>113.4</v>
      </c>
      <c r="J141" s="64">
        <v>132.1</v>
      </c>
      <c r="K141" s="64">
        <v>121.3</v>
      </c>
      <c r="L141" s="64">
        <v>128.5</v>
      </c>
      <c r="M141" s="64">
        <f>SUM('Data cleaning'!U141+'Data cleaning'!V141+'Data cleaning'!Y141+'Data cleaning'!AC141)</f>
        <v>480.00000000000006</v>
      </c>
    </row>
    <row r="142" spans="1:13">
      <c r="A142" s="64" t="s">
        <v>34</v>
      </c>
      <c r="B142" s="64">
        <v>2016</v>
      </c>
      <c r="C142" s="64" t="s">
        <v>45</v>
      </c>
      <c r="D142" s="64">
        <f>SUM('Data cleaning'!D142+'Data cleaning'!E142+'Data cleaning'!F142+'Data cleaning'!G142+'Data cleaning'!H142+'Data cleaning'!I142+'Data cleaning'!J142+'Data cleaning'!K142+'Data cleaning'!L142+'Data cleaning'!O142+'Data cleaning'!P142+'Data cleaning'!M142)</f>
        <v>1633.6</v>
      </c>
      <c r="E142" s="64">
        <f>SUM('Data cleaning'!N142+'Data cleaning'!Q142+'Data cleaning'!AB142+'Data cleaning'!Z142)</f>
        <v>514.79999999999995</v>
      </c>
      <c r="F142" s="64">
        <f>SUM('Data cleaning'!R142+'Data cleaning'!S142+'Data cleaning'!T142)</f>
        <v>400.1</v>
      </c>
      <c r="G142" s="76">
        <f>SUM('Data cleaning'!U142+'Data cleaning'!W142)</f>
        <v>257.7</v>
      </c>
      <c r="H142" s="64">
        <v>125</v>
      </c>
      <c r="I142" s="64">
        <v>115.7</v>
      </c>
      <c r="J142" s="64">
        <v>132.80000000000001</v>
      </c>
      <c r="K142" s="64">
        <v>123.8</v>
      </c>
      <c r="L142" s="64">
        <v>131.19999999999999</v>
      </c>
      <c r="M142" s="64">
        <f>SUM('Data cleaning'!U142+'Data cleaning'!V142+'Data cleaning'!Y142+'Data cleaning'!AC142)</f>
        <v>493.6</v>
      </c>
    </row>
    <row r="143" spans="1:13">
      <c r="A143" s="64" t="s">
        <v>30</v>
      </c>
      <c r="B143" s="64">
        <v>2016</v>
      </c>
      <c r="C143" s="64" t="s">
        <v>46</v>
      </c>
      <c r="D143" s="64">
        <f>SUM('Data cleaning'!D143+'Data cleaning'!E143+'Data cleaning'!F143+'Data cleaning'!G143+'Data cleaning'!H143+'Data cleaning'!I143+'Data cleaning'!J143+'Data cleaning'!K143+'Data cleaning'!L143+'Data cleaning'!O143+'Data cleaning'!P143+'Data cleaning'!M143)</f>
        <v>1620</v>
      </c>
      <c r="E143" s="64">
        <f>SUM('Data cleaning'!N143+'Data cleaning'!Q143+'Data cleaning'!AB143+'Data cleaning'!Z143)</f>
        <v>520.69999999999993</v>
      </c>
      <c r="F143" s="64">
        <f>SUM('Data cleaning'!R143+'Data cleaning'!S143+'Data cleaning'!T143)</f>
        <v>415.3</v>
      </c>
      <c r="G143" s="76">
        <f>SUM('Data cleaning'!U143+'Data cleaning'!W143)</f>
        <v>261.39999999999998</v>
      </c>
      <c r="H143" s="64">
        <v>132</v>
      </c>
      <c r="I143" s="64">
        <v>118.6</v>
      </c>
      <c r="J143" s="64">
        <v>134.19999999999999</v>
      </c>
      <c r="K143" s="64">
        <v>126.3</v>
      </c>
      <c r="L143" s="64">
        <v>132.80000000000001</v>
      </c>
      <c r="M143" s="64">
        <f>SUM('Data cleaning'!U143+'Data cleaning'!V143+'Data cleaning'!Y143+'Data cleaning'!AC143)</f>
        <v>505.40000000000003</v>
      </c>
    </row>
    <row r="144" spans="1:13">
      <c r="A144" s="64" t="s">
        <v>33</v>
      </c>
      <c r="B144" s="64">
        <v>2016</v>
      </c>
      <c r="C144" s="64" t="s">
        <v>46</v>
      </c>
      <c r="D144" s="64">
        <f>SUM('Data cleaning'!D144+'Data cleaning'!E144+'Data cleaning'!F144+'Data cleaning'!G144+'Data cleaning'!H144+'Data cleaning'!I144+'Data cleaning'!J144+'Data cleaning'!K144+'Data cleaning'!L144+'Data cleaning'!O144+'Data cleaning'!P144+'Data cleaning'!M144)</f>
        <v>1606.7</v>
      </c>
      <c r="E144" s="64">
        <f>SUM('Data cleaning'!N144+'Data cleaning'!Q144+'Data cleaning'!AB144+'Data cleaning'!Z144)</f>
        <v>509.8</v>
      </c>
      <c r="F144" s="64">
        <f>SUM('Data cleaning'!R144+'Data cleaning'!S144+'Data cleaning'!T144)</f>
        <v>381</v>
      </c>
      <c r="G144" s="76">
        <f>SUM('Data cleaning'!U144+'Data cleaning'!W144)</f>
        <v>253.5</v>
      </c>
      <c r="H144" s="64">
        <v>117.8</v>
      </c>
      <c r="I144" s="64">
        <v>113.7</v>
      </c>
      <c r="J144" s="64">
        <v>132.30000000000001</v>
      </c>
      <c r="K144" s="64">
        <v>121.4</v>
      </c>
      <c r="L144" s="64">
        <v>127.6</v>
      </c>
      <c r="M144" s="64">
        <f>SUM('Data cleaning'!U144+'Data cleaning'!V144+'Data cleaning'!Y144+'Data cleaning'!AC144)</f>
        <v>481.4</v>
      </c>
    </row>
    <row r="145" spans="1:13">
      <c r="A145" s="64" t="s">
        <v>34</v>
      </c>
      <c r="B145" s="64">
        <v>2016</v>
      </c>
      <c r="C145" s="64" t="s">
        <v>46</v>
      </c>
      <c r="D145" s="64">
        <f>SUM('Data cleaning'!D145+'Data cleaning'!E145+'Data cleaning'!F145+'Data cleaning'!G145+'Data cleaning'!H145+'Data cleaning'!I145+'Data cleaning'!J145+'Data cleaning'!K145+'Data cleaning'!L145+'Data cleaning'!O145+'Data cleaning'!P145+'Data cleaning'!M145)</f>
        <v>1614.1000000000001</v>
      </c>
      <c r="E145" s="64">
        <f>SUM('Data cleaning'!N145+'Data cleaning'!Q145+'Data cleaning'!AB145+'Data cleaning'!Z145)</f>
        <v>515</v>
      </c>
      <c r="F145" s="64">
        <f>SUM('Data cleaning'!R145+'Data cleaning'!S145+'Data cleaning'!T145)</f>
        <v>401.5</v>
      </c>
      <c r="G145" s="76">
        <f>SUM('Data cleaning'!U145+'Data cleaning'!W145)</f>
        <v>257.7</v>
      </c>
      <c r="H145" s="64">
        <v>126.6</v>
      </c>
      <c r="I145" s="64">
        <v>116</v>
      </c>
      <c r="J145" s="64">
        <v>133.1</v>
      </c>
      <c r="K145" s="64">
        <v>123.9</v>
      </c>
      <c r="L145" s="64">
        <v>130.4</v>
      </c>
      <c r="M145" s="64">
        <f>SUM('Data cleaning'!U145+'Data cleaning'!V145+'Data cleaning'!Y145+'Data cleaning'!AC145)</f>
        <v>495</v>
      </c>
    </row>
    <row r="146" spans="1:13">
      <c r="A146" s="64" t="s">
        <v>30</v>
      </c>
      <c r="B146" s="64">
        <v>2017</v>
      </c>
      <c r="C146" s="64" t="s">
        <v>31</v>
      </c>
      <c r="D146" s="64">
        <f>SUM('Data cleaning'!D146+'Data cleaning'!E146+'Data cleaning'!F146+'Data cleaning'!G146+'Data cleaning'!H146+'Data cleaning'!I146+'Data cleaning'!J146+'Data cleaning'!K146+'Data cleaning'!L146+'Data cleaning'!O146+'Data cleaning'!P146+'Data cleaning'!M146)</f>
        <v>1608.3000000000002</v>
      </c>
      <c r="E146" s="64">
        <f>SUM('Data cleaning'!N146+'Data cleaning'!Q146+'Data cleaning'!AB146+'Data cleaning'!Z146)</f>
        <v>521.40000000000009</v>
      </c>
      <c r="F146" s="64">
        <f>SUM('Data cleaning'!R146+'Data cleaning'!S146+'Data cleaning'!T146)</f>
        <v>416.5</v>
      </c>
      <c r="G146" s="76">
        <f>SUM('Data cleaning'!U146+'Data cleaning'!W146)</f>
        <v>262.79999999999995</v>
      </c>
      <c r="H146" s="64">
        <v>132.1</v>
      </c>
      <c r="I146" s="64">
        <v>119.1</v>
      </c>
      <c r="J146" s="64">
        <v>134.6</v>
      </c>
      <c r="K146" s="64">
        <v>126.6</v>
      </c>
      <c r="L146" s="64">
        <v>132.4</v>
      </c>
      <c r="M146" s="64">
        <f>SUM('Data cleaning'!U146+'Data cleaning'!V146+'Data cleaning'!Y146+'Data cleaning'!AC146)</f>
        <v>507.4</v>
      </c>
    </row>
    <row r="147" spans="1:13">
      <c r="A147" s="64" t="s">
        <v>33</v>
      </c>
      <c r="B147" s="64">
        <v>2017</v>
      </c>
      <c r="C147" s="64" t="s">
        <v>31</v>
      </c>
      <c r="D147" s="64">
        <f>SUM('Data cleaning'!D147+'Data cleaning'!E147+'Data cleaning'!F147+'Data cleaning'!G147+'Data cleaning'!H147+'Data cleaning'!I147+'Data cleaning'!J147+'Data cleaning'!K147+'Data cleaning'!L147+'Data cleaning'!O147+'Data cleaning'!P147+'Data cleaning'!M147)</f>
        <v>1590</v>
      </c>
      <c r="E147" s="64">
        <f>SUM('Data cleaning'!N147+'Data cleaning'!Q147+'Data cleaning'!AB147+'Data cleaning'!Z147)</f>
        <v>511.70000000000005</v>
      </c>
      <c r="F147" s="64">
        <f>SUM('Data cleaning'!R147+'Data cleaning'!S147+'Data cleaning'!T147)</f>
        <v>381.5</v>
      </c>
      <c r="G147" s="76">
        <f>SUM('Data cleaning'!U147+'Data cleaning'!W147)</f>
        <v>254.7</v>
      </c>
      <c r="H147" s="64">
        <v>118</v>
      </c>
      <c r="I147" s="64">
        <v>115.2</v>
      </c>
      <c r="J147" s="64">
        <v>132.4</v>
      </c>
      <c r="K147" s="64">
        <v>122.1</v>
      </c>
      <c r="L147" s="64">
        <v>127.8</v>
      </c>
      <c r="M147" s="64">
        <f>SUM('Data cleaning'!U147+'Data cleaning'!V147+'Data cleaning'!Y147+'Data cleaning'!AC147)</f>
        <v>484.9</v>
      </c>
    </row>
    <row r="148" spans="1:13">
      <c r="A148" s="64" t="s">
        <v>34</v>
      </c>
      <c r="B148" s="64">
        <v>2017</v>
      </c>
      <c r="C148" s="64" t="s">
        <v>31</v>
      </c>
      <c r="D148" s="64">
        <f>SUM('Data cleaning'!D148+'Data cleaning'!E148+'Data cleaning'!F148+'Data cleaning'!G148+'Data cleaning'!H148+'Data cleaning'!I148+'Data cleaning'!J148+'Data cleaning'!K148+'Data cleaning'!L148+'Data cleaning'!O148+'Data cleaning'!P148+'Data cleaning'!M148)</f>
        <v>1600.6999999999996</v>
      </c>
      <c r="E148" s="64">
        <f>SUM('Data cleaning'!N148+'Data cleaning'!Q148+'Data cleaning'!AB148+'Data cleaning'!Z148)</f>
        <v>516.29999999999995</v>
      </c>
      <c r="F148" s="64">
        <f>SUM('Data cleaning'!R148+'Data cleaning'!S148+'Data cleaning'!T148)</f>
        <v>402.4</v>
      </c>
      <c r="G148" s="76">
        <f>SUM('Data cleaning'!U148+'Data cleaning'!W148)</f>
        <v>259</v>
      </c>
      <c r="H148" s="64">
        <v>126.8</v>
      </c>
      <c r="I148" s="64">
        <v>117</v>
      </c>
      <c r="J148" s="64">
        <v>133.30000000000001</v>
      </c>
      <c r="K148" s="64">
        <v>124.4</v>
      </c>
      <c r="L148" s="64">
        <v>130.30000000000001</v>
      </c>
      <c r="M148" s="64">
        <f>SUM('Data cleaning'!U148+'Data cleaning'!V148+'Data cleaning'!Y148+'Data cleaning'!AC148)</f>
        <v>497.79999999999995</v>
      </c>
    </row>
    <row r="149" spans="1:13">
      <c r="A149" s="64" t="s">
        <v>30</v>
      </c>
      <c r="B149" s="64">
        <v>2017</v>
      </c>
      <c r="C149" s="64" t="s">
        <v>35</v>
      </c>
      <c r="D149" s="64">
        <f>SUM('Data cleaning'!D149+'Data cleaning'!E149+'Data cleaning'!F149+'Data cleaning'!G149+'Data cleaning'!H149+'Data cleaning'!I149+'Data cleaning'!J149+'Data cleaning'!K149+'Data cleaning'!L149+'Data cleaning'!O149+'Data cleaning'!P149+'Data cleaning'!M149)</f>
        <v>1605.1000000000001</v>
      </c>
      <c r="E149" s="64">
        <f>SUM('Data cleaning'!N149+'Data cleaning'!Q149+'Data cleaning'!AB149+'Data cleaning'!Z149)</f>
        <v>524</v>
      </c>
      <c r="F149" s="64">
        <f>SUM('Data cleaning'!R149+'Data cleaning'!S149+'Data cleaning'!T149)</f>
        <v>416.90000000000003</v>
      </c>
      <c r="G149" s="76">
        <f>SUM('Data cleaning'!U149+'Data cleaning'!W149)</f>
        <v>264.10000000000002</v>
      </c>
      <c r="H149" s="64">
        <v>133.19999999999999</v>
      </c>
      <c r="I149" s="64">
        <v>119.5</v>
      </c>
      <c r="J149" s="64">
        <v>134.9</v>
      </c>
      <c r="K149" s="64">
        <v>127</v>
      </c>
      <c r="L149" s="64">
        <v>132.6</v>
      </c>
      <c r="M149" s="64">
        <f>SUM('Data cleaning'!U149+'Data cleaning'!V149+'Data cleaning'!Y149+'Data cleaning'!AC149)</f>
        <v>510.2</v>
      </c>
    </row>
    <row r="150" spans="1:13">
      <c r="A150" s="64" t="s">
        <v>33</v>
      </c>
      <c r="B150" s="64">
        <v>2017</v>
      </c>
      <c r="C150" s="64" t="s">
        <v>35</v>
      </c>
      <c r="D150" s="64">
        <f>SUM('Data cleaning'!D150+'Data cleaning'!E150+'Data cleaning'!F150+'Data cleaning'!G150+'Data cleaning'!H150+'Data cleaning'!I150+'Data cleaning'!J150+'Data cleaning'!K150+'Data cleaning'!L150+'Data cleaning'!O150+'Data cleaning'!P150+'Data cleaning'!M150)</f>
        <v>1581.9</v>
      </c>
      <c r="E150" s="64">
        <f>SUM('Data cleaning'!N150+'Data cleaning'!Q150+'Data cleaning'!AB150+'Data cleaning'!Z150)</f>
        <v>513.6</v>
      </c>
      <c r="F150" s="64">
        <f>SUM('Data cleaning'!R150+'Data cleaning'!S150+'Data cleaning'!T150)</f>
        <v>382.3</v>
      </c>
      <c r="G150" s="76">
        <f>SUM('Data cleaning'!U150+'Data cleaning'!W150)</f>
        <v>255.8</v>
      </c>
      <c r="H150" s="64">
        <v>119.2</v>
      </c>
      <c r="I150" s="64">
        <v>115.5</v>
      </c>
      <c r="J150" s="64">
        <v>132.4</v>
      </c>
      <c r="K150" s="64">
        <v>122.4</v>
      </c>
      <c r="L150" s="64">
        <v>128.19999999999999</v>
      </c>
      <c r="M150" s="64">
        <f>SUM('Data cleaning'!U150+'Data cleaning'!V150+'Data cleaning'!Y150+'Data cleaning'!AC150)</f>
        <v>487.6</v>
      </c>
    </row>
    <row r="151" spans="1:13">
      <c r="A151" s="64" t="s">
        <v>34</v>
      </c>
      <c r="B151" s="64">
        <v>2017</v>
      </c>
      <c r="C151" s="64" t="s">
        <v>35</v>
      </c>
      <c r="D151" s="64">
        <f>SUM('Data cleaning'!D151+'Data cleaning'!E151+'Data cleaning'!F151+'Data cleaning'!G151+'Data cleaning'!H151+'Data cleaning'!I151+'Data cleaning'!J151+'Data cleaning'!K151+'Data cleaning'!L151+'Data cleaning'!O151+'Data cleaning'!P151+'Data cleaning'!M151)</f>
        <v>1595.4</v>
      </c>
      <c r="E151" s="64">
        <f>SUM('Data cleaning'!N151+'Data cleaning'!Q151+'Data cleaning'!AB151+'Data cleaning'!Z151)</f>
        <v>518.5</v>
      </c>
      <c r="F151" s="64">
        <f>SUM('Data cleaning'!R151+'Data cleaning'!S151+'Data cleaning'!T151)</f>
        <v>403</v>
      </c>
      <c r="G151" s="76">
        <f>SUM('Data cleaning'!U151+'Data cleaning'!W151)</f>
        <v>260.2</v>
      </c>
      <c r="H151" s="64">
        <v>127.9</v>
      </c>
      <c r="I151" s="64">
        <v>117.4</v>
      </c>
      <c r="J151" s="64">
        <v>133.4</v>
      </c>
      <c r="K151" s="64">
        <v>124.8</v>
      </c>
      <c r="L151" s="64">
        <v>130.6</v>
      </c>
      <c r="M151" s="64">
        <f>SUM('Data cleaning'!U151+'Data cleaning'!V151+'Data cleaning'!Y151+'Data cleaning'!AC151)</f>
        <v>500.59999999999997</v>
      </c>
    </row>
    <row r="152" spans="1:13">
      <c r="A152" s="64" t="s">
        <v>30</v>
      </c>
      <c r="B152" s="64">
        <v>2017</v>
      </c>
      <c r="C152" s="64" t="s">
        <v>36</v>
      </c>
      <c r="D152" s="64">
        <f>SUM('Data cleaning'!D152+'Data cleaning'!E152+'Data cleaning'!F152+'Data cleaning'!G152+'Data cleaning'!H152+'Data cleaning'!I152+'Data cleaning'!J152+'Data cleaning'!K152+'Data cleaning'!L152+'Data cleaning'!O152+'Data cleaning'!P152+'Data cleaning'!M152)</f>
        <v>1598.7000000000003</v>
      </c>
      <c r="E152" s="64">
        <f>SUM('Data cleaning'!N152+'Data cleaning'!Q152+'Data cleaning'!AB152+'Data cleaning'!Z152)</f>
        <v>525.6</v>
      </c>
      <c r="F152" s="64">
        <f>SUM('Data cleaning'!R152+'Data cleaning'!S152+'Data cleaning'!T152)</f>
        <v>418.59999999999997</v>
      </c>
      <c r="G152" s="76">
        <f>SUM('Data cleaning'!U152+'Data cleaning'!W152)</f>
        <v>265.2</v>
      </c>
      <c r="H152" s="64">
        <v>134.19999999999999</v>
      </c>
      <c r="I152" s="64">
        <v>119.8</v>
      </c>
      <c r="J152" s="64">
        <v>135.19999999999999</v>
      </c>
      <c r="K152" s="64">
        <v>127.4</v>
      </c>
      <c r="L152" s="64">
        <v>132.80000000000001</v>
      </c>
      <c r="M152" s="64">
        <f>SUM('Data cleaning'!U152+'Data cleaning'!V152+'Data cleaning'!Y152+'Data cleaning'!AC152)</f>
        <v>512.5</v>
      </c>
    </row>
    <row r="153" spans="1:13">
      <c r="A153" s="64" t="s">
        <v>33</v>
      </c>
      <c r="B153" s="64">
        <v>2017</v>
      </c>
      <c r="C153" s="64" t="s">
        <v>36</v>
      </c>
      <c r="D153" s="64">
        <f>SUM('Data cleaning'!D153+'Data cleaning'!E153+'Data cleaning'!F153+'Data cleaning'!G153+'Data cleaning'!H153+'Data cleaning'!I153+'Data cleaning'!J153+'Data cleaning'!K153+'Data cleaning'!L153+'Data cleaning'!O153+'Data cleaning'!P153+'Data cleaning'!M153)</f>
        <v>1582.1</v>
      </c>
      <c r="E153" s="64">
        <f>SUM('Data cleaning'!N153+'Data cleaning'!Q153+'Data cleaning'!AB153+'Data cleaning'!Z153)</f>
        <v>515.20000000000005</v>
      </c>
      <c r="F153" s="64">
        <f>SUM('Data cleaning'!R153+'Data cleaning'!S153+'Data cleaning'!T153)</f>
        <v>383.20000000000005</v>
      </c>
      <c r="G153" s="76">
        <f>SUM('Data cleaning'!U153+'Data cleaning'!W153)</f>
        <v>256.7</v>
      </c>
      <c r="H153" s="64">
        <v>120.8</v>
      </c>
      <c r="I153" s="64">
        <v>115.6</v>
      </c>
      <c r="J153" s="64">
        <v>132.80000000000001</v>
      </c>
      <c r="K153" s="64">
        <v>122.6</v>
      </c>
      <c r="L153" s="64">
        <v>128.69999999999999</v>
      </c>
      <c r="M153" s="64">
        <f>SUM('Data cleaning'!U153+'Data cleaning'!V153+'Data cleaning'!Y153+'Data cleaning'!AC153)</f>
        <v>490.1</v>
      </c>
    </row>
    <row r="154" spans="1:13">
      <c r="A154" s="64" t="s">
        <v>34</v>
      </c>
      <c r="B154" s="64">
        <v>2017</v>
      </c>
      <c r="C154" s="64" t="s">
        <v>36</v>
      </c>
      <c r="D154" s="64">
        <f>SUM('Data cleaning'!D154+'Data cleaning'!E154+'Data cleaning'!F154+'Data cleaning'!G154+'Data cleaning'!H154+'Data cleaning'!I154+'Data cleaning'!J154+'Data cleaning'!K154+'Data cleaning'!L154+'Data cleaning'!O154+'Data cleaning'!P154+'Data cleaning'!M154)</f>
        <v>1591.7</v>
      </c>
      <c r="E154" s="64">
        <f>SUM('Data cleaning'!N154+'Data cleaning'!Q154+'Data cleaning'!AB154+'Data cleaning'!Z154)</f>
        <v>519.9</v>
      </c>
      <c r="F154" s="64">
        <f>SUM('Data cleaning'!R154+'Data cleaning'!S154+'Data cleaning'!T154)</f>
        <v>404.29999999999995</v>
      </c>
      <c r="G154" s="76">
        <f>SUM('Data cleaning'!U154+'Data cleaning'!W154)</f>
        <v>261.2</v>
      </c>
      <c r="H154" s="64">
        <v>129.1</v>
      </c>
      <c r="I154" s="64">
        <v>117.6</v>
      </c>
      <c r="J154" s="64">
        <v>133.80000000000001</v>
      </c>
      <c r="K154" s="64">
        <v>125.1</v>
      </c>
      <c r="L154" s="64">
        <v>130.9</v>
      </c>
      <c r="M154" s="64">
        <f>SUM('Data cleaning'!U154+'Data cleaning'!V154+'Data cleaning'!Y154+'Data cleaning'!AC154)</f>
        <v>502.9</v>
      </c>
    </row>
    <row r="155" spans="1:13">
      <c r="A155" s="64" t="s">
        <v>30</v>
      </c>
      <c r="B155" s="64">
        <v>2017</v>
      </c>
      <c r="C155" s="64" t="s">
        <v>37</v>
      </c>
      <c r="D155" s="64">
        <f>SUM('Data cleaning'!D155+'Data cleaning'!E155+'Data cleaning'!F155+'Data cleaning'!G155+'Data cleaning'!H155+'Data cleaning'!I155+'Data cleaning'!J155+'Data cleaning'!K155+'Data cleaning'!L155+'Data cleaning'!O155+'Data cleaning'!P155+'Data cleaning'!M155)</f>
        <v>1596.3</v>
      </c>
      <c r="E155" s="64">
        <f>SUM('Data cleaning'!N155+'Data cleaning'!Q155+'Data cleaning'!AB155+'Data cleaning'!Z155)</f>
        <v>526.4</v>
      </c>
      <c r="F155" s="64">
        <f>SUM('Data cleaning'!R155+'Data cleaning'!S155+'Data cleaning'!T155)</f>
        <v>420.80000000000007</v>
      </c>
      <c r="G155" s="76">
        <f>SUM('Data cleaning'!U155+'Data cleaning'!W155)</f>
        <v>266</v>
      </c>
      <c r="H155" s="64">
        <v>135</v>
      </c>
      <c r="I155" s="64">
        <v>119.2</v>
      </c>
      <c r="J155" s="64">
        <v>135.69999999999999</v>
      </c>
      <c r="K155" s="64">
        <v>127.5</v>
      </c>
      <c r="L155" s="64">
        <v>132.9</v>
      </c>
      <c r="M155" s="64">
        <f>SUM('Data cleaning'!U155+'Data cleaning'!V155+'Data cleaning'!Y155+'Data cleaning'!AC155)</f>
        <v>513.4</v>
      </c>
    </row>
    <row r="156" spans="1:13">
      <c r="A156" s="64" t="s">
        <v>33</v>
      </c>
      <c r="B156" s="64">
        <v>2017</v>
      </c>
      <c r="C156" s="64" t="s">
        <v>37</v>
      </c>
      <c r="D156" s="64">
        <f>SUM('Data cleaning'!D156+'Data cleaning'!E156+'Data cleaning'!F156+'Data cleaning'!G156+'Data cleaning'!H156+'Data cleaning'!I156+'Data cleaning'!J156+'Data cleaning'!K156+'Data cleaning'!L156+'Data cleaning'!O156+'Data cleaning'!P156+'Data cleaning'!M156)</f>
        <v>1584.3</v>
      </c>
      <c r="E156" s="64">
        <f>SUM('Data cleaning'!N156+'Data cleaning'!Q156+'Data cleaning'!AB156+'Data cleaning'!Z156)</f>
        <v>516.6</v>
      </c>
      <c r="F156" s="64">
        <f>SUM('Data cleaning'!R156+'Data cleaning'!S156+'Data cleaning'!T156)</f>
        <v>384.2</v>
      </c>
      <c r="G156" s="76">
        <f>SUM('Data cleaning'!U156+'Data cleaning'!W156)</f>
        <v>257.7</v>
      </c>
      <c r="H156" s="64">
        <v>121.4</v>
      </c>
      <c r="I156" s="64">
        <v>114.3</v>
      </c>
      <c r="J156" s="64">
        <v>133.6</v>
      </c>
      <c r="K156" s="64">
        <v>122.5</v>
      </c>
      <c r="L156" s="64">
        <v>129.1</v>
      </c>
      <c r="M156" s="64">
        <f>SUM('Data cleaning'!U156+'Data cleaning'!V156+'Data cleaning'!Y156+'Data cleaning'!AC156)</f>
        <v>489.9</v>
      </c>
    </row>
    <row r="157" spans="1:13">
      <c r="A157" s="64" t="s">
        <v>34</v>
      </c>
      <c r="B157" s="64">
        <v>2017</v>
      </c>
      <c r="C157" s="64" t="s">
        <v>37</v>
      </c>
      <c r="D157" s="64">
        <f>SUM('Data cleaning'!D157+'Data cleaning'!E157+'Data cleaning'!F157+'Data cleaning'!G157+'Data cleaning'!H157+'Data cleaning'!I157+'Data cleaning'!J157+'Data cleaning'!K157+'Data cleaning'!L157+'Data cleaning'!O157+'Data cleaning'!P157+'Data cleaning'!M157)</f>
        <v>1591</v>
      </c>
      <c r="E157" s="64">
        <f>SUM('Data cleaning'!N157+'Data cleaning'!Q157+'Data cleaning'!AB157+'Data cleaning'!Z157)</f>
        <v>521</v>
      </c>
      <c r="F157" s="64">
        <f>SUM('Data cleaning'!R157+'Data cleaning'!S157+'Data cleaning'!T157)</f>
        <v>406.1</v>
      </c>
      <c r="G157" s="76">
        <f>SUM('Data cleaning'!U157+'Data cleaning'!W157)</f>
        <v>262.10000000000002</v>
      </c>
      <c r="H157" s="64">
        <v>129.80000000000001</v>
      </c>
      <c r="I157" s="64">
        <v>116.6</v>
      </c>
      <c r="J157" s="64">
        <v>134.5</v>
      </c>
      <c r="K157" s="64">
        <v>125.1</v>
      </c>
      <c r="L157" s="64">
        <v>131.1</v>
      </c>
      <c r="M157" s="64">
        <f>SUM('Data cleaning'!U157+'Data cleaning'!V157+'Data cleaning'!Y157+'Data cleaning'!AC157)</f>
        <v>503.20000000000005</v>
      </c>
    </row>
    <row r="158" spans="1:13">
      <c r="A158" s="64" t="s">
        <v>30</v>
      </c>
      <c r="B158" s="64">
        <v>2017</v>
      </c>
      <c r="C158" s="64" t="s">
        <v>38</v>
      </c>
      <c r="D158" s="64">
        <f>SUM('Data cleaning'!D158+'Data cleaning'!E158+'Data cleaning'!F158+'Data cleaning'!G158+'Data cleaning'!H158+'Data cleaning'!I158+'Data cleaning'!J158+'Data cleaning'!K158+'Data cleaning'!L158+'Data cleaning'!O158+'Data cleaning'!P158+'Data cleaning'!M158)</f>
        <v>1597.1999999999996</v>
      </c>
      <c r="E158" s="64">
        <f>SUM('Data cleaning'!N158+'Data cleaning'!Q158+'Data cleaning'!AB158+'Data cleaning'!Z158)</f>
        <v>528.9</v>
      </c>
      <c r="F158" s="64">
        <f>SUM('Data cleaning'!R158+'Data cleaning'!S158+'Data cleaning'!T158)</f>
        <v>421.6</v>
      </c>
      <c r="G158" s="76">
        <f>SUM('Data cleaning'!U158+'Data cleaning'!W158)</f>
        <v>267</v>
      </c>
      <c r="H158" s="64">
        <v>135</v>
      </c>
      <c r="I158" s="64">
        <v>119.4</v>
      </c>
      <c r="J158" s="64">
        <v>136.30000000000001</v>
      </c>
      <c r="K158" s="64">
        <v>127.9</v>
      </c>
      <c r="L158" s="64">
        <v>133.30000000000001</v>
      </c>
      <c r="M158" s="64">
        <f>SUM('Data cleaning'!U158+'Data cleaning'!V158+'Data cleaning'!Y158+'Data cleaning'!AC158)</f>
        <v>514.4</v>
      </c>
    </row>
    <row r="159" spans="1:13">
      <c r="A159" s="64" t="s">
        <v>33</v>
      </c>
      <c r="B159" s="64">
        <v>2017</v>
      </c>
      <c r="C159" s="64" t="s">
        <v>38</v>
      </c>
      <c r="D159" s="64">
        <f>SUM('Data cleaning'!D159+'Data cleaning'!E159+'Data cleaning'!F159+'Data cleaning'!G159+'Data cleaning'!H159+'Data cleaning'!I159+'Data cleaning'!J159+'Data cleaning'!K159+'Data cleaning'!L159+'Data cleaning'!O159+'Data cleaning'!P159+'Data cleaning'!M159)</f>
        <v>1585.8</v>
      </c>
      <c r="E159" s="64">
        <f>SUM('Data cleaning'!N159+'Data cleaning'!Q159+'Data cleaning'!AB159+'Data cleaning'!Z159)</f>
        <v>516.9</v>
      </c>
      <c r="F159" s="64">
        <f>SUM('Data cleaning'!R159+'Data cleaning'!S159+'Data cleaning'!T159)</f>
        <v>384.9</v>
      </c>
      <c r="G159" s="76">
        <f>SUM('Data cleaning'!U159+'Data cleaning'!W159)</f>
        <v>258.60000000000002</v>
      </c>
      <c r="H159" s="64">
        <v>120.1</v>
      </c>
      <c r="I159" s="64">
        <v>114.3</v>
      </c>
      <c r="J159" s="64">
        <v>133.80000000000001</v>
      </c>
      <c r="K159" s="64">
        <v>122.6</v>
      </c>
      <c r="L159" s="64">
        <v>129.30000000000001</v>
      </c>
      <c r="M159" s="64">
        <f>SUM('Data cleaning'!U159+'Data cleaning'!V159+'Data cleaning'!Y159+'Data cleaning'!AC159)</f>
        <v>489.1</v>
      </c>
    </row>
    <row r="160" spans="1:13">
      <c r="A160" s="64" t="s">
        <v>34</v>
      </c>
      <c r="B160" s="64">
        <v>2017</v>
      </c>
      <c r="C160" s="64" t="s">
        <v>38</v>
      </c>
      <c r="D160" s="64">
        <f>SUM('Data cleaning'!D160+'Data cleaning'!E160+'Data cleaning'!F160+'Data cleaning'!G160+'Data cleaning'!H160+'Data cleaning'!I160+'Data cleaning'!J160+'Data cleaning'!K160+'Data cleaning'!L160+'Data cleaning'!O160+'Data cleaning'!P160+'Data cleaning'!M160)</f>
        <v>1592.0000000000002</v>
      </c>
      <c r="E160" s="64">
        <f>SUM('Data cleaning'!N160+'Data cleaning'!Q160+'Data cleaning'!AB160+'Data cleaning'!Z160)</f>
        <v>522.5</v>
      </c>
      <c r="F160" s="64">
        <f>SUM('Data cleaning'!R160+'Data cleaning'!S160+'Data cleaning'!T160)</f>
        <v>406.8</v>
      </c>
      <c r="G160" s="76">
        <f>SUM('Data cleaning'!U160+'Data cleaning'!W160)</f>
        <v>263</v>
      </c>
      <c r="H160" s="64">
        <v>129.4</v>
      </c>
      <c r="I160" s="64">
        <v>116.7</v>
      </c>
      <c r="J160" s="64">
        <v>134.80000000000001</v>
      </c>
      <c r="K160" s="64">
        <v>125.3</v>
      </c>
      <c r="L160" s="64">
        <v>131.4</v>
      </c>
      <c r="M160" s="64">
        <f>SUM('Data cleaning'!U160+'Data cleaning'!V160+'Data cleaning'!Y160+'Data cleaning'!AC160)</f>
        <v>503.5</v>
      </c>
    </row>
    <row r="161" spans="1:13">
      <c r="A161" s="64" t="s">
        <v>30</v>
      </c>
      <c r="B161" s="64">
        <v>2017</v>
      </c>
      <c r="C161" s="64" t="s">
        <v>39</v>
      </c>
      <c r="D161" s="64">
        <f>SUM('Data cleaning'!D161+'Data cleaning'!E161+'Data cleaning'!F161+'Data cleaning'!G161+'Data cleaning'!H161+'Data cleaning'!I161+'Data cleaning'!J161+'Data cleaning'!K161+'Data cleaning'!L161+'Data cleaning'!O161+'Data cleaning'!P161+'Data cleaning'!M161)</f>
        <v>1608.4</v>
      </c>
      <c r="E161" s="64">
        <f>SUM('Data cleaning'!N161+'Data cleaning'!Q161+'Data cleaning'!AB161+'Data cleaning'!Z161)</f>
        <v>530.10000000000014</v>
      </c>
      <c r="F161" s="64">
        <f>SUM('Data cleaning'!R161+'Data cleaning'!S161+'Data cleaning'!T161)</f>
        <v>423.09999999999997</v>
      </c>
      <c r="G161" s="76">
        <f>SUM('Data cleaning'!U161+'Data cleaning'!W161)</f>
        <v>266.60000000000002</v>
      </c>
      <c r="H161" s="64">
        <v>134.80000000000001</v>
      </c>
      <c r="I161" s="64">
        <v>119.4</v>
      </c>
      <c r="J161" s="64">
        <v>136.9</v>
      </c>
      <c r="K161" s="64">
        <v>128.1</v>
      </c>
      <c r="L161" s="64">
        <v>133.9</v>
      </c>
      <c r="M161" s="64">
        <f>SUM('Data cleaning'!U161+'Data cleaning'!V161+'Data cleaning'!Y161+'Data cleaning'!AC161)</f>
        <v>513.70000000000005</v>
      </c>
    </row>
    <row r="162" spans="1:13">
      <c r="A162" s="64" t="s">
        <v>33</v>
      </c>
      <c r="B162" s="64">
        <v>2017</v>
      </c>
      <c r="C162" s="64" t="s">
        <v>39</v>
      </c>
      <c r="D162" s="64">
        <f>SUM('Data cleaning'!D162+'Data cleaning'!E162+'Data cleaning'!F162+'Data cleaning'!G162+'Data cleaning'!H162+'Data cleaning'!I162+'Data cleaning'!J162+'Data cleaning'!K162+'Data cleaning'!L162+'Data cleaning'!O162+'Data cleaning'!P162+'Data cleaning'!M162)</f>
        <v>1606.8000000000002</v>
      </c>
      <c r="E162" s="64">
        <f>SUM('Data cleaning'!N162+'Data cleaning'!Q162+'Data cleaning'!AB162+'Data cleaning'!Z162)</f>
        <v>518.20000000000005</v>
      </c>
      <c r="F162" s="64">
        <f>SUM('Data cleaning'!R162+'Data cleaning'!S162+'Data cleaning'!T162)</f>
        <v>384.9</v>
      </c>
      <c r="G162" s="76">
        <f>SUM('Data cleaning'!U162+'Data cleaning'!W162)</f>
        <v>258.2</v>
      </c>
      <c r="H162" s="64">
        <v>119</v>
      </c>
      <c r="I162" s="64">
        <v>113.9</v>
      </c>
      <c r="J162" s="64">
        <v>134.30000000000001</v>
      </c>
      <c r="K162" s="64">
        <v>122.7</v>
      </c>
      <c r="L162" s="64">
        <v>129.9</v>
      </c>
      <c r="M162" s="64">
        <f>SUM('Data cleaning'!U162+'Data cleaning'!V162+'Data cleaning'!Y162+'Data cleaning'!AC162)</f>
        <v>487</v>
      </c>
    </row>
    <row r="163" spans="1:13">
      <c r="A163" s="64" t="s">
        <v>34</v>
      </c>
      <c r="B163" s="64">
        <v>2017</v>
      </c>
      <c r="C163" s="64" t="s">
        <v>39</v>
      </c>
      <c r="D163" s="64">
        <f>SUM('Data cleaning'!D163+'Data cleaning'!E163+'Data cleaning'!F163+'Data cleaning'!G163+'Data cleaning'!H163+'Data cleaning'!I163+'Data cleaning'!J163+'Data cleaning'!K163+'Data cleaning'!L163+'Data cleaning'!O163+'Data cleaning'!P163+'Data cleaning'!M163)</f>
        <v>1606.9</v>
      </c>
      <c r="E163" s="64">
        <f>SUM('Data cleaning'!N163+'Data cleaning'!Q163+'Data cleaning'!AB163+'Data cleaning'!Z163)</f>
        <v>523.6</v>
      </c>
      <c r="F163" s="64">
        <f>SUM('Data cleaning'!R163+'Data cleaning'!S163+'Data cleaning'!T163)</f>
        <v>407.7</v>
      </c>
      <c r="G163" s="76">
        <f>SUM('Data cleaning'!U163+'Data cleaning'!W163)</f>
        <v>262.60000000000002</v>
      </c>
      <c r="H163" s="64">
        <v>128.80000000000001</v>
      </c>
      <c r="I163" s="64">
        <v>116.5</v>
      </c>
      <c r="J163" s="64">
        <v>135.4</v>
      </c>
      <c r="K163" s="64">
        <v>125.5</v>
      </c>
      <c r="L163" s="64">
        <v>132</v>
      </c>
      <c r="M163" s="64">
        <f>SUM('Data cleaning'!U163+'Data cleaning'!V163+'Data cleaning'!Y163+'Data cleaning'!AC163)</f>
        <v>502.20000000000005</v>
      </c>
    </row>
    <row r="164" spans="1:13">
      <c r="A164" s="64" t="s">
        <v>30</v>
      </c>
      <c r="B164" s="64">
        <v>2017</v>
      </c>
      <c r="C164" s="64" t="s">
        <v>40</v>
      </c>
      <c r="D164" s="64">
        <f>SUM('Data cleaning'!D164+'Data cleaning'!E164+'Data cleaning'!F164+'Data cleaning'!G164+'Data cleaning'!H164+'Data cleaning'!I164+'Data cleaning'!J164+'Data cleaning'!K164+'Data cleaning'!L164+'Data cleaning'!O164+'Data cleaning'!P164+'Data cleaning'!M164)</f>
        <v>1641.5</v>
      </c>
      <c r="E164" s="64">
        <f>SUM('Data cleaning'!N164+'Data cleaning'!Q164+'Data cleaning'!AB164+'Data cleaning'!Z164)</f>
        <v>533.80000000000007</v>
      </c>
      <c r="F164" s="64">
        <f>SUM('Data cleaning'!R164+'Data cleaning'!S164+'Data cleaning'!T164)</f>
        <v>425.9</v>
      </c>
      <c r="G164" s="76">
        <f>SUM('Data cleaning'!U164+'Data cleaning'!W164)</f>
        <v>268.7</v>
      </c>
      <c r="H164" s="64">
        <v>135.30000000000001</v>
      </c>
      <c r="I164" s="64">
        <v>119.1</v>
      </c>
      <c r="J164" s="64">
        <v>138.6</v>
      </c>
      <c r="K164" s="64">
        <v>128.6</v>
      </c>
      <c r="L164" s="64">
        <v>136.19999999999999</v>
      </c>
      <c r="M164" s="64">
        <f>SUM('Data cleaning'!U164+'Data cleaning'!V164+'Data cleaning'!Y164+'Data cleaning'!AC164)</f>
        <v>515.6</v>
      </c>
    </row>
    <row r="165" spans="1:13">
      <c r="A165" s="64" t="s">
        <v>33</v>
      </c>
      <c r="B165" s="64">
        <v>2017</v>
      </c>
      <c r="C165" s="64" t="s">
        <v>40</v>
      </c>
      <c r="D165" s="64">
        <f>SUM('Data cleaning'!D165+'Data cleaning'!E165+'Data cleaning'!F165+'Data cleaning'!G165+'Data cleaning'!H165+'Data cleaning'!I165+'Data cleaning'!J165+'Data cleaning'!K165+'Data cleaning'!L165+'Data cleaning'!O165+'Data cleaning'!P165+'Data cleaning'!M165)</f>
        <v>1643.6999999999998</v>
      </c>
      <c r="E165" s="64">
        <f>SUM('Data cleaning'!N165+'Data cleaning'!Q165+'Data cleaning'!AB165+'Data cleaning'!Z165)</f>
        <v>520.79999999999995</v>
      </c>
      <c r="F165" s="64">
        <f>SUM('Data cleaning'!R165+'Data cleaning'!S165+'Data cleaning'!T165)</f>
        <v>385.70000000000005</v>
      </c>
      <c r="G165" s="76">
        <f>SUM('Data cleaning'!U165+'Data cleaning'!W165)</f>
        <v>259.8</v>
      </c>
      <c r="H165" s="64">
        <v>119.7</v>
      </c>
      <c r="I165" s="64">
        <v>113.2</v>
      </c>
      <c r="J165" s="64">
        <v>135.5</v>
      </c>
      <c r="K165" s="64">
        <v>123</v>
      </c>
      <c r="L165" s="64">
        <v>131.80000000000001</v>
      </c>
      <c r="M165" s="64">
        <f>SUM('Data cleaning'!U165+'Data cleaning'!V165+'Data cleaning'!Y165+'Data cleaning'!AC165)</f>
        <v>488.5</v>
      </c>
    </row>
    <row r="166" spans="1:13">
      <c r="A166" s="64" t="s">
        <v>34</v>
      </c>
      <c r="B166" s="64">
        <v>2017</v>
      </c>
      <c r="C166" s="64" t="s">
        <v>40</v>
      </c>
      <c r="D166" s="64">
        <f>SUM('Data cleaning'!D166+'Data cleaning'!E166+'Data cleaning'!F166+'Data cleaning'!G166+'Data cleaning'!H166+'Data cleaning'!I166+'Data cleaning'!J166+'Data cleaning'!K166+'Data cleaning'!L166+'Data cleaning'!O166+'Data cleaning'!P166+'Data cleaning'!M166)</f>
        <v>1640.8999999999999</v>
      </c>
      <c r="E166" s="64">
        <f>SUM('Data cleaning'!N166+'Data cleaning'!Q166+'Data cleaning'!AB166+'Data cleaning'!Z166)</f>
        <v>526.9</v>
      </c>
      <c r="F166" s="64">
        <f>SUM('Data cleaning'!R166+'Data cleaning'!S166+'Data cleaning'!T166)</f>
        <v>409.7</v>
      </c>
      <c r="G166" s="76">
        <f>SUM('Data cleaning'!U166+'Data cleaning'!W166)</f>
        <v>264.5</v>
      </c>
      <c r="H166" s="64">
        <v>129.4</v>
      </c>
      <c r="I166" s="64">
        <v>116</v>
      </c>
      <c r="J166" s="64">
        <v>136.80000000000001</v>
      </c>
      <c r="K166" s="64">
        <v>125.9</v>
      </c>
      <c r="L166" s="64">
        <v>134.19999999999999</v>
      </c>
      <c r="M166" s="64">
        <f>SUM('Data cleaning'!U166+'Data cleaning'!V166+'Data cleaning'!Y166+'Data cleaning'!AC166)</f>
        <v>503.9</v>
      </c>
    </row>
    <row r="167" spans="1:13">
      <c r="A167" s="64" t="s">
        <v>30</v>
      </c>
      <c r="B167" s="64">
        <v>2017</v>
      </c>
      <c r="C167" s="64" t="s">
        <v>41</v>
      </c>
      <c r="D167" s="64">
        <f>SUM('Data cleaning'!D167+'Data cleaning'!E167+'Data cleaning'!F167+'Data cleaning'!G167+'Data cleaning'!H167+'Data cleaning'!I167+'Data cleaning'!J167+'Data cleaning'!K167+'Data cleaning'!L167+'Data cleaning'!O167+'Data cleaning'!P167+'Data cleaning'!M167)</f>
        <v>1660.8999999999999</v>
      </c>
      <c r="E167" s="64">
        <f>SUM('Data cleaning'!N167+'Data cleaning'!Q167+'Data cleaning'!AB167+'Data cleaning'!Z167)</f>
        <v>537.5</v>
      </c>
      <c r="F167" s="64">
        <f>SUM('Data cleaning'!R167+'Data cleaning'!S167+'Data cleaning'!T167)</f>
        <v>429</v>
      </c>
      <c r="G167" s="76">
        <f>SUM('Data cleaning'!U167+'Data cleaning'!W167)</f>
        <v>271.70000000000005</v>
      </c>
      <c r="H167" s="64">
        <v>136.4</v>
      </c>
      <c r="I167" s="64">
        <v>120.3</v>
      </c>
      <c r="J167" s="64">
        <v>140.19999999999999</v>
      </c>
      <c r="K167" s="64">
        <v>129.69999999999999</v>
      </c>
      <c r="L167" s="64">
        <v>137.80000000000001</v>
      </c>
      <c r="M167" s="64">
        <f>SUM('Data cleaning'!U167+'Data cleaning'!V167+'Data cleaning'!Y167+'Data cleaning'!AC167)</f>
        <v>520.79999999999995</v>
      </c>
    </row>
    <row r="168" spans="1:13">
      <c r="A168" s="64" t="s">
        <v>33</v>
      </c>
      <c r="B168" s="64">
        <v>2017</v>
      </c>
      <c r="C168" s="64" t="s">
        <v>41</v>
      </c>
      <c r="D168" s="64">
        <f>SUM('Data cleaning'!D168+'Data cleaning'!E168+'Data cleaning'!F168+'Data cleaning'!G168+'Data cleaning'!H168+'Data cleaning'!I168+'Data cleaning'!J168+'Data cleaning'!K168+'Data cleaning'!L168+'Data cleaning'!O168+'Data cleaning'!P168+'Data cleaning'!M168)</f>
        <v>1648.3999999999999</v>
      </c>
      <c r="E168" s="64">
        <f>SUM('Data cleaning'!N168+'Data cleaning'!Q168+'Data cleaning'!AB168+'Data cleaning'!Z168)</f>
        <v>524.1</v>
      </c>
      <c r="F168" s="64">
        <f>SUM('Data cleaning'!R168+'Data cleaning'!S168+'Data cleaning'!T168)</f>
        <v>388.4</v>
      </c>
      <c r="G168" s="76">
        <f>SUM('Data cleaning'!U168+'Data cleaning'!W168)</f>
        <v>262.10000000000002</v>
      </c>
      <c r="H168" s="64">
        <v>118.9</v>
      </c>
      <c r="I168" s="64">
        <v>114.6</v>
      </c>
      <c r="J168" s="64">
        <v>135.69999999999999</v>
      </c>
      <c r="K168" s="64">
        <v>123.8</v>
      </c>
      <c r="L168" s="64">
        <v>132.69999999999999</v>
      </c>
      <c r="M168" s="64">
        <f>SUM('Data cleaning'!U168+'Data cleaning'!V168+'Data cleaning'!Y168+'Data cleaning'!AC168)</f>
        <v>491.7</v>
      </c>
    </row>
    <row r="169" spans="1:13">
      <c r="A169" s="64" t="s">
        <v>34</v>
      </c>
      <c r="B169" s="64">
        <v>2017</v>
      </c>
      <c r="C169" s="64" t="s">
        <v>41</v>
      </c>
      <c r="D169" s="64">
        <f>SUM('Data cleaning'!D169+'Data cleaning'!E169+'Data cleaning'!F169+'Data cleaning'!G169+'Data cleaning'!H169+'Data cleaning'!I169+'Data cleaning'!J169+'Data cleaning'!K169+'Data cleaning'!L169+'Data cleaning'!O169+'Data cleaning'!P169+'Data cleaning'!M169)</f>
        <v>1655.1</v>
      </c>
      <c r="E169" s="64">
        <f>SUM('Data cleaning'!N169+'Data cleaning'!Q169+'Data cleaning'!AB169+'Data cleaning'!Z169)</f>
        <v>530.29999999999995</v>
      </c>
      <c r="F169" s="64">
        <f>SUM('Data cleaning'!R169+'Data cleaning'!S169+'Data cleaning'!T169)</f>
        <v>412.6</v>
      </c>
      <c r="G169" s="76">
        <f>SUM('Data cleaning'!U169+'Data cleaning'!W169)</f>
        <v>267.20000000000005</v>
      </c>
      <c r="H169" s="64">
        <v>129.80000000000001</v>
      </c>
      <c r="I169" s="64">
        <v>117.3</v>
      </c>
      <c r="J169" s="64">
        <v>137.6</v>
      </c>
      <c r="K169" s="64">
        <v>126.8</v>
      </c>
      <c r="L169" s="64">
        <v>135.4</v>
      </c>
      <c r="M169" s="64">
        <f>SUM('Data cleaning'!U169+'Data cleaning'!V169+'Data cleaning'!Y169+'Data cleaning'!AC169)</f>
        <v>508.30000000000007</v>
      </c>
    </row>
    <row r="170" spans="1:13">
      <c r="A170" s="64" t="s">
        <v>30</v>
      </c>
      <c r="B170" s="64">
        <v>2017</v>
      </c>
      <c r="C170" s="64" t="s">
        <v>42</v>
      </c>
      <c r="D170" s="64">
        <f>SUM('Data cleaning'!D170+'Data cleaning'!E170+'Data cleaning'!F170+'Data cleaning'!G170+'Data cleaning'!H170+'Data cleaning'!I170+'Data cleaning'!J170+'Data cleaning'!K170+'Data cleaning'!L170+'Data cleaning'!O170+'Data cleaning'!P170+'Data cleaning'!M170)</f>
        <v>1652.6</v>
      </c>
      <c r="E170" s="64">
        <f>SUM('Data cleaning'!N170+'Data cleaning'!Q170+'Data cleaning'!AB170+'Data cleaning'!Z170)</f>
        <v>540.5</v>
      </c>
      <c r="F170" s="64">
        <f>SUM('Data cleaning'!R170+'Data cleaning'!S170+'Data cleaning'!T170)</f>
        <v>430.99999999999994</v>
      </c>
      <c r="G170" s="76">
        <f>SUM('Data cleaning'!U170+'Data cleaning'!W170)</f>
        <v>273.60000000000002</v>
      </c>
      <c r="H170" s="64">
        <v>137.4</v>
      </c>
      <c r="I170" s="64">
        <v>121.2</v>
      </c>
      <c r="J170" s="64">
        <v>139.6</v>
      </c>
      <c r="K170" s="64">
        <v>130.30000000000001</v>
      </c>
      <c r="L170" s="64">
        <v>137.6</v>
      </c>
      <c r="M170" s="64">
        <f>SUM('Data cleaning'!U170+'Data cleaning'!V170+'Data cleaning'!Y170+'Data cleaning'!AC170)</f>
        <v>524.6</v>
      </c>
    </row>
    <row r="171" spans="1:13">
      <c r="A171" s="64" t="s">
        <v>33</v>
      </c>
      <c r="B171" s="64">
        <v>2017</v>
      </c>
      <c r="C171" s="64" t="s">
        <v>42</v>
      </c>
      <c r="D171" s="64">
        <f>SUM('Data cleaning'!D171+'Data cleaning'!E171+'Data cleaning'!F171+'Data cleaning'!G171+'Data cleaning'!H171+'Data cleaning'!I171+'Data cleaning'!J171+'Data cleaning'!K171+'Data cleaning'!L171+'Data cleaning'!O171+'Data cleaning'!P171+'Data cleaning'!M171)</f>
        <v>1624.9</v>
      </c>
      <c r="E171" s="64">
        <f>SUM('Data cleaning'!N171+'Data cleaning'!Q171+'Data cleaning'!AB171+'Data cleaning'!Z171)</f>
        <v>527.29999999999995</v>
      </c>
      <c r="F171" s="64">
        <f>SUM('Data cleaning'!R171+'Data cleaning'!S171+'Data cleaning'!T171)</f>
        <v>389.9</v>
      </c>
      <c r="G171" s="76">
        <f>SUM('Data cleaning'!U171+'Data cleaning'!W171)</f>
        <v>263.79999999999995</v>
      </c>
      <c r="H171" s="64">
        <v>120.6</v>
      </c>
      <c r="I171" s="64">
        <v>115.7</v>
      </c>
      <c r="J171" s="64">
        <v>135.9</v>
      </c>
      <c r="K171" s="64">
        <v>124.5</v>
      </c>
      <c r="L171" s="64">
        <v>132.4</v>
      </c>
      <c r="M171" s="64">
        <f>SUM('Data cleaning'!U171+'Data cleaning'!V171+'Data cleaning'!Y171+'Data cleaning'!AC171)</f>
        <v>496.49999999999994</v>
      </c>
    </row>
    <row r="172" spans="1:13">
      <c r="A172" s="64" t="s">
        <v>34</v>
      </c>
      <c r="B172" s="64">
        <v>2017</v>
      </c>
      <c r="C172" s="64" t="s">
        <v>42</v>
      </c>
      <c r="D172" s="64">
        <f>SUM('Data cleaning'!D172+'Data cleaning'!E172+'Data cleaning'!F172+'Data cleaning'!G172+'Data cleaning'!H172+'Data cleaning'!I172+'Data cleaning'!J172+'Data cleaning'!K172+'Data cleaning'!L172+'Data cleaning'!O172+'Data cleaning'!P172+'Data cleaning'!M172)</f>
        <v>1641.1999999999998</v>
      </c>
      <c r="E172" s="64">
        <f>SUM('Data cleaning'!N172+'Data cleaning'!Q172+'Data cleaning'!AB172+'Data cleaning'!Z172)</f>
        <v>533.20000000000005</v>
      </c>
      <c r="F172" s="64">
        <f>SUM('Data cleaning'!R172+'Data cleaning'!S172+'Data cleaning'!T172)</f>
        <v>414.5</v>
      </c>
      <c r="G172" s="76">
        <f>SUM('Data cleaning'!U172+'Data cleaning'!W172)</f>
        <v>269</v>
      </c>
      <c r="H172" s="64">
        <v>131</v>
      </c>
      <c r="I172" s="64">
        <v>118.3</v>
      </c>
      <c r="J172" s="64">
        <v>137.4</v>
      </c>
      <c r="K172" s="64">
        <v>127.5</v>
      </c>
      <c r="L172" s="64">
        <v>135.19999999999999</v>
      </c>
      <c r="M172" s="64">
        <f>SUM('Data cleaning'!U172+'Data cleaning'!V172+'Data cleaning'!Y172+'Data cleaning'!AC172)</f>
        <v>512.5</v>
      </c>
    </row>
    <row r="173" spans="1:13">
      <c r="A173" s="64" t="s">
        <v>30</v>
      </c>
      <c r="B173" s="64">
        <v>2017</v>
      </c>
      <c r="C173" s="64" t="s">
        <v>43</v>
      </c>
      <c r="D173" s="64">
        <f>SUM('Data cleaning'!D173+'Data cleaning'!E173+'Data cleaning'!F173+'Data cleaning'!G173+'Data cleaning'!H173+'Data cleaning'!I173+'Data cleaning'!J173+'Data cleaning'!K173+'Data cleaning'!L173+'Data cleaning'!O173+'Data cleaning'!P173+'Data cleaning'!M173)</f>
        <v>1659.6</v>
      </c>
      <c r="E173" s="64">
        <f>SUM('Data cleaning'!N173+'Data cleaning'!Q173+'Data cleaning'!AB173+'Data cleaning'!Z173)</f>
        <v>542.20000000000005</v>
      </c>
      <c r="F173" s="64">
        <f>SUM('Data cleaning'!R173+'Data cleaning'!S173+'Data cleaning'!T173)</f>
        <v>433.99999999999994</v>
      </c>
      <c r="G173" s="76">
        <f>SUM('Data cleaning'!U173+'Data cleaning'!W173)</f>
        <v>275.70000000000005</v>
      </c>
      <c r="H173" s="64">
        <v>138.1</v>
      </c>
      <c r="I173" s="64">
        <v>121</v>
      </c>
      <c r="J173" s="64">
        <v>140.1</v>
      </c>
      <c r="K173" s="64">
        <v>130.69999999999999</v>
      </c>
      <c r="L173" s="64">
        <v>138.30000000000001</v>
      </c>
      <c r="M173" s="64">
        <f>SUM('Data cleaning'!U173+'Data cleaning'!V173+'Data cleaning'!Y173+'Data cleaning'!AC173)</f>
        <v>527.09999999999991</v>
      </c>
    </row>
    <row r="174" spans="1:13">
      <c r="A174" s="64" t="s">
        <v>33</v>
      </c>
      <c r="B174" s="64">
        <v>2017</v>
      </c>
      <c r="C174" s="64" t="s">
        <v>43</v>
      </c>
      <c r="D174" s="64">
        <f>SUM('Data cleaning'!D174+'Data cleaning'!E174+'Data cleaning'!F174+'Data cleaning'!G174+'Data cleaning'!H174+'Data cleaning'!I174+'Data cleaning'!J174+'Data cleaning'!K174+'Data cleaning'!L174+'Data cleaning'!O174+'Data cleaning'!P174+'Data cleaning'!M174)</f>
        <v>1640.6</v>
      </c>
      <c r="E174" s="64">
        <f>SUM('Data cleaning'!N174+'Data cleaning'!Q174+'Data cleaning'!AB174+'Data cleaning'!Z174)</f>
        <v>529.09999999999991</v>
      </c>
      <c r="F174" s="64">
        <f>SUM('Data cleaning'!R174+'Data cleaning'!S174+'Data cleaning'!T174)</f>
        <v>391.5</v>
      </c>
      <c r="G174" s="76">
        <f>SUM('Data cleaning'!U174+'Data cleaning'!W174)</f>
        <v>265.60000000000002</v>
      </c>
      <c r="H174" s="64">
        <v>122.6</v>
      </c>
      <c r="I174" s="64">
        <v>115</v>
      </c>
      <c r="J174" s="64">
        <v>136.30000000000001</v>
      </c>
      <c r="K174" s="64">
        <v>124.5</v>
      </c>
      <c r="L174" s="64">
        <v>133.5</v>
      </c>
      <c r="M174" s="64">
        <f>SUM('Data cleaning'!U174+'Data cleaning'!V174+'Data cleaning'!Y174+'Data cleaning'!AC174)</f>
        <v>499.4</v>
      </c>
    </row>
    <row r="175" spans="1:13">
      <c r="A175" s="64" t="s">
        <v>34</v>
      </c>
      <c r="B175" s="64">
        <v>2017</v>
      </c>
      <c r="C175" s="64" t="s">
        <v>43</v>
      </c>
      <c r="D175" s="64">
        <f>SUM('Data cleaning'!D175+'Data cleaning'!E175+'Data cleaning'!F175+'Data cleaning'!G175+'Data cleaning'!H175+'Data cleaning'!I175+'Data cleaning'!J175+'Data cleaning'!K175+'Data cleaning'!L175+'Data cleaning'!O175+'Data cleaning'!P175+'Data cleaning'!M175)</f>
        <v>1650.9999999999998</v>
      </c>
      <c r="E175" s="64">
        <f>SUM('Data cleaning'!N175+'Data cleaning'!Q175+'Data cleaning'!AB175+'Data cleaning'!Z175)</f>
        <v>534.9</v>
      </c>
      <c r="F175" s="64">
        <f>SUM('Data cleaning'!R175+'Data cleaning'!S175+'Data cleaning'!T175)</f>
        <v>416.90000000000003</v>
      </c>
      <c r="G175" s="76">
        <f>SUM('Data cleaning'!U175+'Data cleaning'!W175)</f>
        <v>270.89999999999998</v>
      </c>
      <c r="H175" s="64">
        <v>132.19999999999999</v>
      </c>
      <c r="I175" s="64">
        <v>117.8</v>
      </c>
      <c r="J175" s="64">
        <v>137.9</v>
      </c>
      <c r="K175" s="64">
        <v>127.7</v>
      </c>
      <c r="L175" s="64">
        <v>136.1</v>
      </c>
      <c r="M175" s="64">
        <f>SUM('Data cleaning'!U175+'Data cleaning'!V175+'Data cleaning'!Y175+'Data cleaning'!AC175)</f>
        <v>515</v>
      </c>
    </row>
    <row r="176" spans="1:13">
      <c r="A176" s="64" t="s">
        <v>30</v>
      </c>
      <c r="B176" s="64">
        <v>2017</v>
      </c>
      <c r="C176" s="64" t="s">
        <v>45</v>
      </c>
      <c r="D176" s="64">
        <f>SUM('Data cleaning'!D176+'Data cleaning'!E176+'Data cleaning'!F176+'Data cleaning'!G176+'Data cleaning'!H176+'Data cleaning'!I176+'Data cleaning'!J176+'Data cleaning'!K176+'Data cleaning'!L176+'Data cleaning'!O176+'Data cleaning'!P176+'Data cleaning'!M176)</f>
        <v>1685.8000000000002</v>
      </c>
      <c r="E176" s="64">
        <f>SUM('Data cleaning'!N176+'Data cleaning'!Q176+'Data cleaning'!AB176+'Data cleaning'!Z176)</f>
        <v>545.79999999999995</v>
      </c>
      <c r="F176" s="64">
        <f>SUM('Data cleaning'!R176+'Data cleaning'!S176+'Data cleaning'!T176)</f>
        <v>437</v>
      </c>
      <c r="G176" s="76">
        <f>SUM('Data cleaning'!U176+'Data cleaning'!W176)</f>
        <v>278</v>
      </c>
      <c r="H176" s="64">
        <v>141.1</v>
      </c>
      <c r="I176" s="64">
        <v>121.6</v>
      </c>
      <c r="J176" s="64">
        <v>141.5</v>
      </c>
      <c r="K176" s="64">
        <v>131.69999999999999</v>
      </c>
      <c r="L176" s="64">
        <v>140</v>
      </c>
      <c r="M176" s="64">
        <f>SUM('Data cleaning'!U176+'Data cleaning'!V176+'Data cleaning'!Y176+'Data cleaning'!AC176)</f>
        <v>533</v>
      </c>
    </row>
    <row r="177" spans="1:13">
      <c r="A177" s="64" t="s">
        <v>33</v>
      </c>
      <c r="B177" s="64">
        <v>2017</v>
      </c>
      <c r="C177" s="64" t="s">
        <v>45</v>
      </c>
      <c r="D177" s="64">
        <f>SUM('Data cleaning'!D177+'Data cleaning'!E177+'Data cleaning'!F177+'Data cleaning'!G177+'Data cleaning'!H177+'Data cleaning'!I177+'Data cleaning'!J177+'Data cleaning'!K177+'Data cleaning'!L177+'Data cleaning'!O177+'Data cleaning'!P177+'Data cleaning'!M177)</f>
        <v>1671.3</v>
      </c>
      <c r="E177" s="64">
        <f>SUM('Data cleaning'!N177+'Data cleaning'!Q177+'Data cleaning'!AB177+'Data cleaning'!Z177)</f>
        <v>531.6</v>
      </c>
      <c r="F177" s="64">
        <f>SUM('Data cleaning'!R177+'Data cleaning'!S177+'Data cleaning'!T177)</f>
        <v>393.9</v>
      </c>
      <c r="G177" s="76">
        <f>SUM('Data cleaning'!U177+'Data cleaning'!W177)</f>
        <v>267.39999999999998</v>
      </c>
      <c r="H177" s="64">
        <v>125.7</v>
      </c>
      <c r="I177" s="64">
        <v>115.3</v>
      </c>
      <c r="J177" s="64">
        <v>136.6</v>
      </c>
      <c r="K177" s="64">
        <v>124.9</v>
      </c>
      <c r="L177" s="64">
        <v>134.80000000000001</v>
      </c>
      <c r="M177" s="64">
        <f>SUM('Data cleaning'!U177+'Data cleaning'!V177+'Data cleaning'!Y177+'Data cleaning'!AC177)</f>
        <v>504.5</v>
      </c>
    </row>
    <row r="178" spans="1:13">
      <c r="A178" s="64" t="s">
        <v>34</v>
      </c>
      <c r="B178" s="64">
        <v>2017</v>
      </c>
      <c r="C178" s="64" t="s">
        <v>45</v>
      </c>
      <c r="D178" s="64">
        <f>SUM('Data cleaning'!D178+'Data cleaning'!E178+'Data cleaning'!F178+'Data cleaning'!G178+'Data cleaning'!H178+'Data cleaning'!I178+'Data cleaning'!J178+'Data cleaning'!K178+'Data cleaning'!L178+'Data cleaning'!O178+'Data cleaning'!P178+'Data cleaning'!M178)</f>
        <v>1679</v>
      </c>
      <c r="E178" s="64">
        <f>SUM('Data cleaning'!N178+'Data cleaning'!Q178+'Data cleaning'!AB178+'Data cleaning'!Z178)</f>
        <v>538.1</v>
      </c>
      <c r="F178" s="64">
        <f>SUM('Data cleaning'!R178+'Data cleaning'!S178+'Data cleaning'!T178)</f>
        <v>419.6</v>
      </c>
      <c r="G178" s="76">
        <f>SUM('Data cleaning'!U178+'Data cleaning'!W178)</f>
        <v>273</v>
      </c>
      <c r="H178" s="64">
        <v>135.30000000000001</v>
      </c>
      <c r="I178" s="64">
        <v>118.3</v>
      </c>
      <c r="J178" s="64">
        <v>138.6</v>
      </c>
      <c r="K178" s="64">
        <v>128.4</v>
      </c>
      <c r="L178" s="64">
        <v>137.6</v>
      </c>
      <c r="M178" s="64">
        <f>SUM('Data cleaning'!U178+'Data cleaning'!V178+'Data cleaning'!Y178+'Data cleaning'!AC178)</f>
        <v>520.6</v>
      </c>
    </row>
    <row r="179" spans="1:13">
      <c r="A179" s="64" t="s">
        <v>30</v>
      </c>
      <c r="B179" s="64">
        <v>2017</v>
      </c>
      <c r="C179" s="64" t="s">
        <v>46</v>
      </c>
      <c r="D179" s="64">
        <f>SUM('Data cleaning'!D179+'Data cleaning'!E179+'Data cleaning'!F179+'Data cleaning'!G179+'Data cleaning'!H179+'Data cleaning'!I179+'Data cleaning'!J179+'Data cleaning'!K179+'Data cleaning'!L179+'Data cleaning'!O179+'Data cleaning'!P179+'Data cleaning'!M179)</f>
        <v>1682.5000000000002</v>
      </c>
      <c r="E179" s="64">
        <f>SUM('Data cleaning'!N179+'Data cleaning'!Q179+'Data cleaning'!AB179+'Data cleaning'!Z179)</f>
        <v>545.5</v>
      </c>
      <c r="F179" s="64">
        <f>SUM('Data cleaning'!R179+'Data cleaning'!S179+'Data cleaning'!T179)</f>
        <v>437.09999999999997</v>
      </c>
      <c r="G179" s="76">
        <f>SUM('Data cleaning'!U179+'Data cleaning'!W179)</f>
        <v>278.60000000000002</v>
      </c>
      <c r="H179" s="64">
        <v>142.6</v>
      </c>
      <c r="I179" s="64">
        <v>122</v>
      </c>
      <c r="J179" s="64">
        <v>141.1</v>
      </c>
      <c r="K179" s="64">
        <v>131.9</v>
      </c>
      <c r="L179" s="64">
        <v>139.80000000000001</v>
      </c>
      <c r="M179" s="64">
        <f>SUM('Data cleaning'!U179+'Data cleaning'!V179+'Data cleaning'!Y179+'Data cleaning'!AC179)</f>
        <v>535.6</v>
      </c>
    </row>
    <row r="180" spans="1:13">
      <c r="A180" s="64" t="s">
        <v>33</v>
      </c>
      <c r="B180" s="64">
        <v>2017</v>
      </c>
      <c r="C180" s="64" t="s">
        <v>46</v>
      </c>
      <c r="D180" s="64">
        <f>SUM('Data cleaning'!D180+'Data cleaning'!E180+'Data cleaning'!F180+'Data cleaning'!G180+'Data cleaning'!H180+'Data cleaning'!I180+'Data cleaning'!J180+'Data cleaning'!K180+'Data cleaning'!L180+'Data cleaning'!O180+'Data cleaning'!P180+'Data cleaning'!M180)</f>
        <v>1641.8</v>
      </c>
      <c r="E180" s="64">
        <f>SUM('Data cleaning'!N180+'Data cleaning'!Q180+'Data cleaning'!AB180+'Data cleaning'!Z180)</f>
        <v>532.9</v>
      </c>
      <c r="F180" s="64">
        <f>SUM('Data cleaning'!R180+'Data cleaning'!S180+'Data cleaning'!T180)</f>
        <v>395.2</v>
      </c>
      <c r="G180" s="76">
        <f>SUM('Data cleaning'!U180+'Data cleaning'!W180)</f>
        <v>268.39999999999998</v>
      </c>
      <c r="H180" s="64">
        <v>126.8</v>
      </c>
      <c r="I180" s="64">
        <v>115.3</v>
      </c>
      <c r="J180" s="64">
        <v>136.69999999999999</v>
      </c>
      <c r="K180" s="64">
        <v>125.1</v>
      </c>
      <c r="L180" s="64">
        <v>134.1</v>
      </c>
      <c r="M180" s="64">
        <f>SUM('Data cleaning'!U180+'Data cleaning'!V180+'Data cleaning'!Y180+'Data cleaning'!AC180)</f>
        <v>506.29999999999995</v>
      </c>
    </row>
    <row r="181" spans="1:13">
      <c r="A181" s="64" t="s">
        <v>34</v>
      </c>
      <c r="B181" s="64">
        <v>2017</v>
      </c>
      <c r="C181" s="64" t="s">
        <v>46</v>
      </c>
      <c r="D181" s="64">
        <f>SUM('Data cleaning'!D181+'Data cleaning'!E181+'Data cleaning'!F181+'Data cleaning'!G181+'Data cleaning'!H181+'Data cleaning'!I181+'Data cleaning'!J181+'Data cleaning'!K181+'Data cleaning'!L181+'Data cleaning'!O181+'Data cleaning'!P181+'Data cleaning'!M181)</f>
        <v>1666.1999999999998</v>
      </c>
      <c r="E181" s="64">
        <f>SUM('Data cleaning'!N181+'Data cleaning'!Q181+'Data cleaning'!AB181+'Data cleaning'!Z181)</f>
        <v>538.5</v>
      </c>
      <c r="F181" s="64">
        <f>SUM('Data cleaning'!R181+'Data cleaning'!S181+'Data cleaning'!T181)</f>
        <v>420.2</v>
      </c>
      <c r="G181" s="76">
        <f>SUM('Data cleaning'!U181+'Data cleaning'!W181)</f>
        <v>273.79999999999995</v>
      </c>
      <c r="H181" s="64">
        <v>136.6</v>
      </c>
      <c r="I181" s="64">
        <v>118.5</v>
      </c>
      <c r="J181" s="64">
        <v>138.5</v>
      </c>
      <c r="K181" s="64">
        <v>128.6</v>
      </c>
      <c r="L181" s="64">
        <v>137.19999999999999</v>
      </c>
      <c r="M181" s="64">
        <f>SUM('Data cleaning'!U181+'Data cleaning'!V181+'Data cleaning'!Y181+'Data cleaning'!AC181)</f>
        <v>522.79999999999995</v>
      </c>
    </row>
    <row r="182" spans="1:13">
      <c r="A182" s="64" t="s">
        <v>30</v>
      </c>
      <c r="B182" s="64">
        <v>2018</v>
      </c>
      <c r="C182" s="64" t="s">
        <v>31</v>
      </c>
      <c r="D182" s="64">
        <f>SUM('Data cleaning'!D182+'Data cleaning'!E182+'Data cleaning'!F182+'Data cleaning'!G182+'Data cleaning'!H182+'Data cleaning'!I182+'Data cleaning'!J182+'Data cleaning'!K182+'Data cleaning'!L182+'Data cleaning'!O182+'Data cleaning'!P182+'Data cleaning'!M182)</f>
        <v>1669.5</v>
      </c>
      <c r="E182" s="64">
        <f>SUM('Data cleaning'!N182+'Data cleaning'!Q182+'Data cleaning'!AB182+'Data cleaning'!Z182)</f>
        <v>547.70000000000005</v>
      </c>
      <c r="F182" s="64">
        <f>SUM('Data cleaning'!R182+'Data cleaning'!S182+'Data cleaning'!T182)</f>
        <v>438.1</v>
      </c>
      <c r="G182" s="76">
        <f>SUM('Data cleaning'!U182+'Data cleaning'!W182)</f>
        <v>280.20000000000005</v>
      </c>
      <c r="H182" s="64">
        <v>142.30000000000001</v>
      </c>
      <c r="I182" s="64">
        <v>122.7</v>
      </c>
      <c r="J182" s="64">
        <v>141.6</v>
      </c>
      <c r="K182" s="64">
        <v>132.30000000000001</v>
      </c>
      <c r="L182" s="64">
        <v>139.30000000000001</v>
      </c>
      <c r="M182" s="64">
        <f>SUM('Data cleaning'!U182+'Data cleaning'!V182+'Data cleaning'!Y182+'Data cleaning'!AC182)</f>
        <v>537.70000000000005</v>
      </c>
    </row>
    <row r="183" spans="1:13">
      <c r="A183" s="64" t="s">
        <v>33</v>
      </c>
      <c r="B183" s="64">
        <v>2018</v>
      </c>
      <c r="C183" s="64" t="s">
        <v>31</v>
      </c>
      <c r="D183" s="64">
        <f>SUM('Data cleaning'!D183+'Data cleaning'!E183+'Data cleaning'!F183+'Data cleaning'!G183+'Data cleaning'!H183+'Data cleaning'!I183+'Data cleaning'!J183+'Data cleaning'!K183+'Data cleaning'!L183+'Data cleaning'!O183+'Data cleaning'!P183+'Data cleaning'!M183)</f>
        <v>1622.4</v>
      </c>
      <c r="E183" s="64">
        <f>SUM('Data cleaning'!N183+'Data cleaning'!Q183+'Data cleaning'!AB183+'Data cleaning'!Z183)</f>
        <v>535.30000000000007</v>
      </c>
      <c r="F183" s="64">
        <f>SUM('Data cleaning'!R183+'Data cleaning'!S183+'Data cleaning'!T183)</f>
        <v>396.29999999999995</v>
      </c>
      <c r="G183" s="76">
        <f>SUM('Data cleaning'!U183+'Data cleaning'!W183)</f>
        <v>269.89999999999998</v>
      </c>
      <c r="H183" s="64">
        <v>127.3</v>
      </c>
      <c r="I183" s="64">
        <v>116.3</v>
      </c>
      <c r="J183" s="64">
        <v>137.1</v>
      </c>
      <c r="K183" s="64">
        <v>125.8</v>
      </c>
      <c r="L183" s="64">
        <v>134.1</v>
      </c>
      <c r="M183" s="64">
        <f>SUM('Data cleaning'!U183+'Data cleaning'!V183+'Data cleaning'!Y183+'Data cleaning'!AC183)</f>
        <v>509.8</v>
      </c>
    </row>
    <row r="184" spans="1:13">
      <c r="A184" s="64" t="s">
        <v>34</v>
      </c>
      <c r="B184" s="64">
        <v>2018</v>
      </c>
      <c r="C184" s="64" t="s">
        <v>31</v>
      </c>
      <c r="D184" s="64">
        <f>SUM('Data cleaning'!D184+'Data cleaning'!E184+'Data cleaning'!F184+'Data cleaning'!G184+'Data cleaning'!H184+'Data cleaning'!I184+'Data cleaning'!J184+'Data cleaning'!K184+'Data cleaning'!L184+'Data cleaning'!O184+'Data cleaning'!P184+'Data cleaning'!M184)</f>
        <v>1650.9</v>
      </c>
      <c r="E184" s="64">
        <f>SUM('Data cleaning'!N184+'Data cleaning'!Q184+'Data cleaning'!AB184+'Data cleaning'!Z184)</f>
        <v>540.70000000000005</v>
      </c>
      <c r="F184" s="64">
        <f>SUM('Data cleaning'!R184+'Data cleaning'!S184+'Data cleaning'!T184)</f>
        <v>421.3</v>
      </c>
      <c r="G184" s="76">
        <f>SUM('Data cleaning'!U184+'Data cleaning'!W184)</f>
        <v>275.3</v>
      </c>
      <c r="H184" s="64">
        <v>136.6</v>
      </c>
      <c r="I184" s="64">
        <v>119.3</v>
      </c>
      <c r="J184" s="64">
        <v>139</v>
      </c>
      <c r="K184" s="64">
        <v>129.1</v>
      </c>
      <c r="L184" s="64">
        <v>136.9</v>
      </c>
      <c r="M184" s="64">
        <f>SUM('Data cleaning'!U184+'Data cleaning'!V184+'Data cleaning'!Y184+'Data cleaning'!AC184)</f>
        <v>525.4</v>
      </c>
    </row>
    <row r="185" spans="1:13">
      <c r="A185" s="64" t="s">
        <v>30</v>
      </c>
      <c r="B185" s="64">
        <v>2018</v>
      </c>
      <c r="C185" s="64" t="s">
        <v>35</v>
      </c>
      <c r="D185" s="64">
        <f>SUM('Data cleaning'!D185+'Data cleaning'!E185+'Data cleaning'!F185+'Data cleaning'!G185+'Data cleaning'!H185+'Data cleaning'!I185+'Data cleaning'!J185+'Data cleaning'!K185+'Data cleaning'!L185+'Data cleaning'!O185+'Data cleaning'!P185+'Data cleaning'!M185)</f>
        <v>1651</v>
      </c>
      <c r="E185" s="64">
        <f>SUM('Data cleaning'!N185+'Data cleaning'!Q185+'Data cleaning'!AB185+'Data cleaning'!Z185)</f>
        <v>546.90000000000009</v>
      </c>
      <c r="F185" s="64">
        <f>SUM('Data cleaning'!R185+'Data cleaning'!S185+'Data cleaning'!T185)</f>
        <v>438.90000000000003</v>
      </c>
      <c r="G185" s="76">
        <f>SUM('Data cleaning'!U185+'Data cleaning'!W185)</f>
        <v>281.20000000000005</v>
      </c>
      <c r="H185" s="64">
        <v>142.4</v>
      </c>
      <c r="I185" s="64">
        <v>123.3</v>
      </c>
      <c r="J185" s="64">
        <v>141.5</v>
      </c>
      <c r="K185" s="64">
        <v>132.5</v>
      </c>
      <c r="L185" s="64">
        <v>138.5</v>
      </c>
      <c r="M185" s="64">
        <f>SUM('Data cleaning'!U185+'Data cleaning'!V185+'Data cleaning'!Y185+'Data cleaning'!AC185)</f>
        <v>539.5</v>
      </c>
    </row>
    <row r="186" spans="1:13">
      <c r="A186" s="64" t="s">
        <v>33</v>
      </c>
      <c r="B186" s="64">
        <v>2018</v>
      </c>
      <c r="C186" s="64" t="s">
        <v>35</v>
      </c>
      <c r="D186" s="64">
        <f>SUM('Data cleaning'!D186+'Data cleaning'!E186+'Data cleaning'!F186+'Data cleaning'!G186+'Data cleaning'!H186+'Data cleaning'!I186+'Data cleaning'!J186+'Data cleaning'!K186+'Data cleaning'!L186+'Data cleaning'!O186+'Data cleaning'!P186+'Data cleaning'!M186)</f>
        <v>1602</v>
      </c>
      <c r="E186" s="64">
        <f>SUM('Data cleaning'!N186+'Data cleaning'!Q186+'Data cleaning'!AB186+'Data cleaning'!Z186)</f>
        <v>537.90000000000009</v>
      </c>
      <c r="F186" s="64">
        <f>SUM('Data cleaning'!R186+'Data cleaning'!S186+'Data cleaning'!T186)</f>
        <v>397.09999999999997</v>
      </c>
      <c r="G186" s="76">
        <f>SUM('Data cleaning'!U186+'Data cleaning'!W186)</f>
        <v>271.20000000000005</v>
      </c>
      <c r="H186" s="64">
        <v>127.3</v>
      </c>
      <c r="I186" s="64">
        <v>117.4</v>
      </c>
      <c r="J186" s="64">
        <v>137.19999999999999</v>
      </c>
      <c r="K186" s="64">
        <v>126.5</v>
      </c>
      <c r="L186" s="64">
        <v>134</v>
      </c>
      <c r="M186" s="64">
        <f>SUM('Data cleaning'!U186+'Data cleaning'!V186+'Data cleaning'!Y186+'Data cleaning'!AC186)</f>
        <v>512.5</v>
      </c>
    </row>
    <row r="187" spans="1:13">
      <c r="A187" s="64" t="s">
        <v>34</v>
      </c>
      <c r="B187" s="64">
        <v>2018</v>
      </c>
      <c r="C187" s="64" t="s">
        <v>35</v>
      </c>
      <c r="D187" s="64">
        <f>SUM('Data cleaning'!D187+'Data cleaning'!E187+'Data cleaning'!F187+'Data cleaning'!G187+'Data cleaning'!H187+'Data cleaning'!I187+'Data cleaning'!J187+'Data cleaning'!K187+'Data cleaning'!L187+'Data cleaning'!O187+'Data cleaning'!P187+'Data cleaning'!M187)</f>
        <v>1631.7999999999997</v>
      </c>
      <c r="E187" s="64">
        <f>SUM('Data cleaning'!N187+'Data cleaning'!Q187+'Data cleaning'!AB187+'Data cleaning'!Z187)</f>
        <v>541.1</v>
      </c>
      <c r="F187" s="64">
        <f>SUM('Data cleaning'!R187+'Data cleaning'!S187+'Data cleaning'!T187)</f>
        <v>422</v>
      </c>
      <c r="G187" s="76">
        <f>SUM('Data cleaning'!U187+'Data cleaning'!W187)</f>
        <v>276.5</v>
      </c>
      <c r="H187" s="64">
        <v>136.69999999999999</v>
      </c>
      <c r="I187" s="64">
        <v>120.2</v>
      </c>
      <c r="J187" s="64">
        <v>139</v>
      </c>
      <c r="K187" s="64">
        <v>129.6</v>
      </c>
      <c r="L187" s="64">
        <v>136.4</v>
      </c>
      <c r="M187" s="64">
        <f>SUM('Data cleaning'!U187+'Data cleaning'!V187+'Data cleaning'!Y187+'Data cleaning'!AC187)</f>
        <v>527.79999999999995</v>
      </c>
    </row>
    <row r="188" spans="1:13">
      <c r="A188" s="64" t="s">
        <v>30</v>
      </c>
      <c r="B188" s="64">
        <v>2018</v>
      </c>
      <c r="C188" s="64" t="s">
        <v>36</v>
      </c>
      <c r="D188" s="64">
        <f>SUM('Data cleaning'!D188+'Data cleaning'!E188+'Data cleaning'!F188+'Data cleaning'!G188+'Data cleaning'!H188+'Data cleaning'!I188+'Data cleaning'!J188+'Data cleaning'!K188+'Data cleaning'!L188+'Data cleaning'!O188+'Data cleaning'!P188+'Data cleaning'!M188)</f>
        <v>1650.7999999999997</v>
      </c>
      <c r="E188" s="64">
        <f>SUM('Data cleaning'!N188+'Data cleaning'!Q188+'Data cleaning'!AB188+'Data cleaning'!Z188)</f>
        <v>550.69999999999993</v>
      </c>
      <c r="F188" s="64">
        <f>SUM('Data cleaning'!R188+'Data cleaning'!S188+'Data cleaning'!T188)</f>
        <v>440.5</v>
      </c>
      <c r="G188" s="76">
        <f>SUM('Data cleaning'!U188+'Data cleaning'!W188)</f>
        <v>281.89999999999998</v>
      </c>
      <c r="H188" s="64">
        <v>142.6</v>
      </c>
      <c r="I188" s="64">
        <v>124.6</v>
      </c>
      <c r="J188" s="64">
        <v>142.69999999999999</v>
      </c>
      <c r="K188" s="64">
        <v>133.30000000000001</v>
      </c>
      <c r="L188" s="64">
        <v>138.69999999999999</v>
      </c>
      <c r="M188" s="64">
        <f>SUM('Data cleaning'!U188+'Data cleaning'!V188+'Data cleaning'!Y188+'Data cleaning'!AC188)</f>
        <v>542.5</v>
      </c>
    </row>
    <row r="189" spans="1:13">
      <c r="A189" s="64" t="s">
        <v>33</v>
      </c>
      <c r="B189" s="64">
        <v>2018</v>
      </c>
      <c r="C189" s="64" t="s">
        <v>36</v>
      </c>
      <c r="D189" s="64">
        <f>SUM('Data cleaning'!D189+'Data cleaning'!E189+'Data cleaning'!F189+'Data cleaning'!G189+'Data cleaning'!H189+'Data cleaning'!I189+'Data cleaning'!J189+'Data cleaning'!K189+'Data cleaning'!L189+'Data cleaning'!O189+'Data cleaning'!P189+'Data cleaning'!M189)</f>
        <v>1589.3</v>
      </c>
      <c r="E189" s="64">
        <f>SUM('Data cleaning'!N189+'Data cleaning'!Q189+'Data cleaning'!AB189+'Data cleaning'!Z189)</f>
        <v>539.4</v>
      </c>
      <c r="F189" s="64">
        <f>SUM('Data cleaning'!R189+'Data cleaning'!S189+'Data cleaning'!T189)</f>
        <v>398.59999999999997</v>
      </c>
      <c r="G189" s="76">
        <f>SUM('Data cleaning'!U189+'Data cleaning'!W189)</f>
        <v>272.8</v>
      </c>
      <c r="H189" s="64">
        <v>126.4</v>
      </c>
      <c r="I189" s="64">
        <v>117.8</v>
      </c>
      <c r="J189" s="64">
        <v>137.80000000000001</v>
      </c>
      <c r="K189" s="64">
        <v>127.1</v>
      </c>
      <c r="L189" s="64">
        <v>134</v>
      </c>
      <c r="M189" s="64">
        <f>SUM('Data cleaning'!U189+'Data cleaning'!V189+'Data cleaning'!Y189+'Data cleaning'!AC189)</f>
        <v>513.29999999999995</v>
      </c>
    </row>
    <row r="190" spans="1:13">
      <c r="A190" s="64" t="s">
        <v>34</v>
      </c>
      <c r="B190" s="64">
        <v>2018</v>
      </c>
      <c r="C190" s="64" t="s">
        <v>36</v>
      </c>
      <c r="D190" s="64">
        <f>SUM('Data cleaning'!D190+'Data cleaning'!E190+'Data cleaning'!F190+'Data cleaning'!G190+'Data cleaning'!H190+'Data cleaning'!I190+'Data cleaning'!J190+'Data cleaning'!K190+'Data cleaning'!L190+'Data cleaning'!O190+'Data cleaning'!P190+'Data cleaning'!M190)</f>
        <v>1626.9</v>
      </c>
      <c r="E190" s="64">
        <f>SUM('Data cleaning'!N190+'Data cleaning'!Q190+'Data cleaning'!AB190+'Data cleaning'!Z190)</f>
        <v>544</v>
      </c>
      <c r="F190" s="64">
        <f>SUM('Data cleaning'!R190+'Data cleaning'!S190+'Data cleaning'!T190)</f>
        <v>423.6</v>
      </c>
      <c r="G190" s="76">
        <f>SUM('Data cleaning'!U190+'Data cleaning'!W190)</f>
        <v>277.60000000000002</v>
      </c>
      <c r="H190" s="64">
        <v>136.5</v>
      </c>
      <c r="I190" s="64">
        <v>121</v>
      </c>
      <c r="J190" s="64">
        <v>139.80000000000001</v>
      </c>
      <c r="K190" s="64">
        <v>130.30000000000001</v>
      </c>
      <c r="L190" s="64">
        <v>136.5</v>
      </c>
      <c r="M190" s="64">
        <f>SUM('Data cleaning'!U190+'Data cleaning'!V190+'Data cleaning'!Y190+'Data cleaning'!AC190)</f>
        <v>529.79999999999995</v>
      </c>
    </row>
    <row r="191" spans="1:13">
      <c r="A191" s="64" t="s">
        <v>30</v>
      </c>
      <c r="B191" s="64">
        <v>2018</v>
      </c>
      <c r="C191" s="64" t="s">
        <v>37</v>
      </c>
      <c r="D191" s="64">
        <f>SUM('Data cleaning'!D191+'Data cleaning'!E191+'Data cleaning'!F191+'Data cleaning'!G191+'Data cleaning'!H191+'Data cleaning'!I191+'Data cleaning'!J191+'Data cleaning'!K191+'Data cleaning'!L191+'Data cleaning'!O191+'Data cleaning'!P191+'Data cleaning'!M191)</f>
        <v>1648.1</v>
      </c>
      <c r="E191" s="64">
        <f>SUM('Data cleaning'!N191+'Data cleaning'!Q191+'Data cleaning'!AB191+'Data cleaning'!Z191)</f>
        <v>554.4</v>
      </c>
      <c r="F191" s="64">
        <f>SUM('Data cleaning'!R191+'Data cleaning'!S191+'Data cleaning'!T191)</f>
        <v>442.5</v>
      </c>
      <c r="G191" s="76">
        <f>SUM('Data cleaning'!U191+'Data cleaning'!W191)</f>
        <v>283.8</v>
      </c>
      <c r="H191" s="64">
        <v>143.80000000000001</v>
      </c>
      <c r="I191" s="64">
        <v>125.3</v>
      </c>
      <c r="J191" s="64">
        <v>143.69999999999999</v>
      </c>
      <c r="K191" s="64">
        <v>134.19999999999999</v>
      </c>
      <c r="L191" s="64">
        <v>139.1</v>
      </c>
      <c r="M191" s="64">
        <f>SUM('Data cleaning'!U191+'Data cleaning'!V191+'Data cleaning'!Y191+'Data cleaning'!AC191)</f>
        <v>546.20000000000005</v>
      </c>
    </row>
    <row r="192" spans="1:13">
      <c r="A192" s="64" t="s">
        <v>33</v>
      </c>
      <c r="B192" s="64">
        <v>2018</v>
      </c>
      <c r="C192" s="64" t="s">
        <v>37</v>
      </c>
      <c r="D192" s="64">
        <f>SUM('Data cleaning'!D192+'Data cleaning'!E192+'Data cleaning'!F192+'Data cleaning'!G192+'Data cleaning'!H192+'Data cleaning'!I192+'Data cleaning'!J192+'Data cleaning'!K192+'Data cleaning'!L192+'Data cleaning'!O192+'Data cleaning'!P192+'Data cleaning'!M192)</f>
        <v>1593.5000000000002</v>
      </c>
      <c r="E192" s="64">
        <f>SUM('Data cleaning'!N192+'Data cleaning'!Q192+'Data cleaning'!AB192+'Data cleaning'!Z192)</f>
        <v>540.9</v>
      </c>
      <c r="F192" s="64">
        <f>SUM('Data cleaning'!R192+'Data cleaning'!S192+'Data cleaning'!T192)</f>
        <v>401.40000000000003</v>
      </c>
      <c r="G192" s="76">
        <f>SUM('Data cleaning'!U192+'Data cleaning'!W192)</f>
        <v>274.70000000000005</v>
      </c>
      <c r="H192" s="64">
        <v>124.6</v>
      </c>
      <c r="I192" s="64">
        <v>118.9</v>
      </c>
      <c r="J192" s="64">
        <v>139.69999999999999</v>
      </c>
      <c r="K192" s="64">
        <v>128.19999999999999</v>
      </c>
      <c r="L192" s="64">
        <v>134.80000000000001</v>
      </c>
      <c r="M192" s="64">
        <f>SUM('Data cleaning'!U192+'Data cleaning'!V192+'Data cleaning'!Y192+'Data cleaning'!AC192)</f>
        <v>514.59999999999991</v>
      </c>
    </row>
    <row r="193" spans="1:13">
      <c r="A193" s="64" t="s">
        <v>34</v>
      </c>
      <c r="B193" s="64">
        <v>2018</v>
      </c>
      <c r="C193" s="64" t="s">
        <v>37</v>
      </c>
      <c r="D193" s="64">
        <f>SUM('Data cleaning'!D193+'Data cleaning'!E193+'Data cleaning'!F193+'Data cleaning'!G193+'Data cleaning'!H193+'Data cleaning'!I193+'Data cleaning'!J193+'Data cleaning'!K193+'Data cleaning'!L193+'Data cleaning'!O193+'Data cleaning'!P193+'Data cleaning'!M193)</f>
        <v>1627.5000000000002</v>
      </c>
      <c r="E193" s="64">
        <f>SUM('Data cleaning'!N193+'Data cleaning'!Q193+'Data cleaning'!AB193+'Data cleaning'!Z193)</f>
        <v>547</v>
      </c>
      <c r="F193" s="64">
        <f>SUM('Data cleaning'!R193+'Data cleaning'!S193+'Data cleaning'!T193)</f>
        <v>426</v>
      </c>
      <c r="G193" s="76">
        <f>SUM('Data cleaning'!U193+'Data cleaning'!W193)</f>
        <v>279.5</v>
      </c>
      <c r="H193" s="64">
        <v>136.5</v>
      </c>
      <c r="I193" s="64">
        <v>121.9</v>
      </c>
      <c r="J193" s="64">
        <v>141.4</v>
      </c>
      <c r="K193" s="64">
        <v>131.30000000000001</v>
      </c>
      <c r="L193" s="64">
        <v>137.1</v>
      </c>
      <c r="M193" s="64">
        <f>SUM('Data cleaning'!U193+'Data cleaning'!V193+'Data cleaning'!Y193+'Data cleaning'!AC193)</f>
        <v>532.59999999999991</v>
      </c>
    </row>
    <row r="194" spans="1:13">
      <c r="A194" s="64" t="s">
        <v>30</v>
      </c>
      <c r="B194" s="64">
        <v>2018</v>
      </c>
      <c r="C194" s="64" t="s">
        <v>38</v>
      </c>
      <c r="D194" s="64">
        <f>SUM('Data cleaning'!D194+'Data cleaning'!E194+'Data cleaning'!F194+'Data cleaning'!G194+'Data cleaning'!H194+'Data cleaning'!I194+'Data cleaning'!J194+'Data cleaning'!K194+'Data cleaning'!L194+'Data cleaning'!O194+'Data cleaning'!P194+'Data cleaning'!M194)</f>
        <v>1650.2</v>
      </c>
      <c r="E194" s="64">
        <f>SUM('Data cleaning'!N194+'Data cleaning'!Q194+'Data cleaning'!AB194+'Data cleaning'!Z194)</f>
        <v>557.20000000000005</v>
      </c>
      <c r="F194" s="64">
        <f>SUM('Data cleaning'!R194+'Data cleaning'!S194+'Data cleaning'!T194)</f>
        <v>444.7</v>
      </c>
      <c r="G194" s="76">
        <f>SUM('Data cleaning'!U194+'Data cleaning'!W194)</f>
        <v>285</v>
      </c>
      <c r="H194" s="64">
        <v>144.30000000000001</v>
      </c>
      <c r="I194" s="64">
        <v>126.4</v>
      </c>
      <c r="J194" s="64">
        <v>144.4</v>
      </c>
      <c r="K194" s="64">
        <v>135.1</v>
      </c>
      <c r="L194" s="64">
        <v>139.80000000000001</v>
      </c>
      <c r="M194" s="64">
        <f>SUM('Data cleaning'!U194+'Data cleaning'!V194+'Data cleaning'!Y194+'Data cleaning'!AC194)</f>
        <v>549</v>
      </c>
    </row>
    <row r="195" spans="1:13">
      <c r="A195" s="64" t="s">
        <v>33</v>
      </c>
      <c r="B195" s="64">
        <v>2018</v>
      </c>
      <c r="C195" s="64" t="s">
        <v>38</v>
      </c>
      <c r="D195" s="64">
        <f>SUM('Data cleaning'!D195+'Data cleaning'!E195+'Data cleaning'!F195+'Data cleaning'!G195+'Data cleaning'!H195+'Data cleaning'!I195+'Data cleaning'!J195+'Data cleaning'!K195+'Data cleaning'!L195+'Data cleaning'!O195+'Data cleaning'!P195+'Data cleaning'!M195)</f>
        <v>1596.3</v>
      </c>
      <c r="E195" s="64">
        <f>SUM('Data cleaning'!N195+'Data cleaning'!Q195+'Data cleaning'!AB195+'Data cleaning'!Z195)</f>
        <v>543</v>
      </c>
      <c r="F195" s="64">
        <f>SUM('Data cleaning'!R195+'Data cleaning'!S195+'Data cleaning'!T195)</f>
        <v>403.5</v>
      </c>
      <c r="G195" s="76">
        <f>SUM('Data cleaning'!U195+'Data cleaning'!W195)</f>
        <v>275.7</v>
      </c>
      <c r="H195" s="64">
        <v>124.7</v>
      </c>
      <c r="I195" s="64">
        <v>119.8</v>
      </c>
      <c r="J195" s="64">
        <v>140.4</v>
      </c>
      <c r="K195" s="64">
        <v>128.9</v>
      </c>
      <c r="L195" s="64">
        <v>135.4</v>
      </c>
      <c r="M195" s="64">
        <f>SUM('Data cleaning'!U195+'Data cleaning'!V195+'Data cleaning'!Y195+'Data cleaning'!AC195)</f>
        <v>516.6</v>
      </c>
    </row>
    <row r="196" spans="1:13">
      <c r="A196" s="64" t="s">
        <v>34</v>
      </c>
      <c r="B196" s="64">
        <v>2018</v>
      </c>
      <c r="C196" s="64" t="s">
        <v>38</v>
      </c>
      <c r="D196" s="64">
        <f>SUM('Data cleaning'!D196+'Data cleaning'!E196+'Data cleaning'!F196+'Data cleaning'!G196+'Data cleaning'!H196+'Data cleaning'!I196+'Data cleaning'!J196+'Data cleaning'!K196+'Data cleaning'!L196+'Data cleaning'!O196+'Data cleaning'!P196+'Data cleaning'!M196)</f>
        <v>1629.8999999999999</v>
      </c>
      <c r="E196" s="64">
        <f>SUM('Data cleaning'!N196+'Data cleaning'!Q196+'Data cleaning'!AB196+'Data cleaning'!Z196)</f>
        <v>549.5</v>
      </c>
      <c r="F196" s="64">
        <f>SUM('Data cleaning'!R196+'Data cleaning'!S196+'Data cleaning'!T196)</f>
        <v>428.09999999999997</v>
      </c>
      <c r="G196" s="76">
        <f>SUM('Data cleaning'!U196+'Data cleaning'!W196)</f>
        <v>280.60000000000002</v>
      </c>
      <c r="H196" s="64">
        <v>136.9</v>
      </c>
      <c r="I196" s="64">
        <v>122.9</v>
      </c>
      <c r="J196" s="64">
        <v>142.1</v>
      </c>
      <c r="K196" s="64">
        <v>132.1</v>
      </c>
      <c r="L196" s="64">
        <v>137.80000000000001</v>
      </c>
      <c r="M196" s="64">
        <f>SUM('Data cleaning'!U196+'Data cleaning'!V196+'Data cleaning'!Y196+'Data cleaning'!AC196)</f>
        <v>535.1</v>
      </c>
    </row>
    <row r="197" spans="1:13">
      <c r="A197" s="64" t="s">
        <v>30</v>
      </c>
      <c r="B197" s="64">
        <v>2018</v>
      </c>
      <c r="C197" s="64" t="s">
        <v>39</v>
      </c>
      <c r="D197" s="64">
        <f>SUM('Data cleaning'!D197+'Data cleaning'!E197+'Data cleaning'!F197+'Data cleaning'!G197+'Data cleaning'!H197+'Data cleaning'!I197+'Data cleaning'!J197+'Data cleaning'!K197+'Data cleaning'!L197+'Data cleaning'!O197+'Data cleaning'!P197+'Data cleaning'!M197)</f>
        <v>1657.4999999999998</v>
      </c>
      <c r="E197" s="64">
        <f>SUM('Data cleaning'!N197+'Data cleaning'!Q197+'Data cleaning'!AB197+'Data cleaning'!Z197)</f>
        <v>559.29999999999995</v>
      </c>
      <c r="F197" s="64">
        <f>SUM('Data cleaning'!R197+'Data cleaning'!S197+'Data cleaning'!T197)</f>
        <v>446.3</v>
      </c>
      <c r="G197" s="76">
        <f>SUM('Data cleaning'!U197+'Data cleaning'!W197)</f>
        <v>284.7</v>
      </c>
      <c r="H197" s="64">
        <v>145.1</v>
      </c>
      <c r="I197" s="64">
        <v>127.4</v>
      </c>
      <c r="J197" s="64">
        <v>145.1</v>
      </c>
      <c r="K197" s="64">
        <v>135.6</v>
      </c>
      <c r="L197" s="64">
        <v>140.5</v>
      </c>
      <c r="M197" s="64">
        <f>SUM('Data cleaning'!U197+'Data cleaning'!V197+'Data cleaning'!Y197+'Data cleaning'!AC197)</f>
        <v>550.6</v>
      </c>
    </row>
    <row r="198" spans="1:13">
      <c r="A198" s="64" t="s">
        <v>33</v>
      </c>
      <c r="B198" s="64">
        <v>2018</v>
      </c>
      <c r="C198" s="64" t="s">
        <v>39</v>
      </c>
      <c r="D198" s="64">
        <f>SUM('Data cleaning'!D198+'Data cleaning'!E198+'Data cleaning'!F198+'Data cleaning'!G198+'Data cleaning'!H198+'Data cleaning'!I198+'Data cleaning'!J198+'Data cleaning'!K198+'Data cleaning'!L198+'Data cleaning'!O198+'Data cleaning'!P198+'Data cleaning'!M198)</f>
        <v>1620.6000000000001</v>
      </c>
      <c r="E198" s="64">
        <f>SUM('Data cleaning'!N198+'Data cleaning'!Q198+'Data cleaning'!AB198+'Data cleaning'!Z198)</f>
        <v>544.4</v>
      </c>
      <c r="F198" s="64">
        <f>SUM('Data cleaning'!R198+'Data cleaning'!S198+'Data cleaning'!T198)</f>
        <v>405</v>
      </c>
      <c r="G198" s="76">
        <f>SUM('Data cleaning'!U198+'Data cleaning'!W198)</f>
        <v>275.60000000000002</v>
      </c>
      <c r="H198" s="64">
        <v>126.5</v>
      </c>
      <c r="I198" s="64">
        <v>120.4</v>
      </c>
      <c r="J198" s="64">
        <v>141.19999999999999</v>
      </c>
      <c r="K198" s="64">
        <v>129.5</v>
      </c>
      <c r="L198" s="64">
        <v>136.19999999999999</v>
      </c>
      <c r="M198" s="64">
        <f>SUM('Data cleaning'!U198+'Data cleaning'!V198+'Data cleaning'!Y198+'Data cleaning'!AC198)</f>
        <v>518.9</v>
      </c>
    </row>
    <row r="199" spans="1:13">
      <c r="A199" s="64" t="s">
        <v>34</v>
      </c>
      <c r="B199" s="64">
        <v>2018</v>
      </c>
      <c r="C199" s="64" t="s">
        <v>39</v>
      </c>
      <c r="D199" s="64">
        <f>SUM('Data cleaning'!D199+'Data cleaning'!E199+'Data cleaning'!F199+'Data cleaning'!G199+'Data cleaning'!H199+'Data cleaning'!I199+'Data cleaning'!J199+'Data cleaning'!K199+'Data cleaning'!L199+'Data cleaning'!O199+'Data cleaning'!P199+'Data cleaning'!M199)</f>
        <v>1643.8000000000002</v>
      </c>
      <c r="E199" s="64">
        <f>SUM('Data cleaning'!N199+'Data cleaning'!Q199+'Data cleaning'!AB199+'Data cleaning'!Z199)</f>
        <v>551.30000000000007</v>
      </c>
      <c r="F199" s="64">
        <f>SUM('Data cleaning'!R199+'Data cleaning'!S199+'Data cleaning'!T199)</f>
        <v>429.7</v>
      </c>
      <c r="G199" s="76">
        <f>SUM('Data cleaning'!U199+'Data cleaning'!W199)</f>
        <v>280.39999999999998</v>
      </c>
      <c r="H199" s="64">
        <v>138.1</v>
      </c>
      <c r="I199" s="64">
        <v>123.7</v>
      </c>
      <c r="J199" s="64">
        <v>142.80000000000001</v>
      </c>
      <c r="K199" s="64">
        <v>132.6</v>
      </c>
      <c r="L199" s="64">
        <v>138.5</v>
      </c>
      <c r="M199" s="64">
        <f>SUM('Data cleaning'!U199+'Data cleaning'!V199+'Data cleaning'!Y199+'Data cleaning'!AC199)</f>
        <v>536.9</v>
      </c>
    </row>
    <row r="200" spans="1:13">
      <c r="A200" s="64" t="s">
        <v>30</v>
      </c>
      <c r="B200" s="64">
        <v>2018</v>
      </c>
      <c r="C200" s="64" t="s">
        <v>40</v>
      </c>
      <c r="D200" s="64">
        <f>SUM('Data cleaning'!D200+'Data cleaning'!E200+'Data cleaning'!F200+'Data cleaning'!G200+'Data cleaning'!H200+'Data cleaning'!I200+'Data cleaning'!J200+'Data cleaning'!K200+'Data cleaning'!L200+'Data cleaning'!O200+'Data cleaning'!P200+'Data cleaning'!M200)</f>
        <v>1677.7000000000003</v>
      </c>
      <c r="E200" s="64">
        <f>SUM('Data cleaning'!N200+'Data cleaning'!Q200+'Data cleaning'!AB200+'Data cleaning'!Z200)</f>
        <v>558.69999999999993</v>
      </c>
      <c r="F200" s="64">
        <f>SUM('Data cleaning'!R200+'Data cleaning'!S200+'Data cleaning'!T200)</f>
        <v>447.20000000000005</v>
      </c>
      <c r="G200" s="76">
        <f>SUM('Data cleaning'!U200+'Data cleaning'!W200)</f>
        <v>286.7</v>
      </c>
      <c r="H200" s="64">
        <v>146.80000000000001</v>
      </c>
      <c r="I200" s="64">
        <v>127.5</v>
      </c>
      <c r="J200" s="64">
        <v>145.80000000000001</v>
      </c>
      <c r="K200" s="64">
        <v>136</v>
      </c>
      <c r="L200" s="64">
        <v>141.80000000000001</v>
      </c>
      <c r="M200" s="64">
        <f>SUM('Data cleaning'!U200+'Data cleaning'!V200+'Data cleaning'!Y200+'Data cleaning'!AC200)</f>
        <v>553.9</v>
      </c>
    </row>
    <row r="201" spans="1:13">
      <c r="A201" s="64" t="s">
        <v>33</v>
      </c>
      <c r="B201" s="64">
        <v>2018</v>
      </c>
      <c r="C201" s="64" t="s">
        <v>40</v>
      </c>
      <c r="D201" s="64">
        <f>SUM('Data cleaning'!D201+'Data cleaning'!E201+'Data cleaning'!F201+'Data cleaning'!G201+'Data cleaning'!H201+'Data cleaning'!I201+'Data cleaning'!J201+'Data cleaning'!K201+'Data cleaning'!L201+'Data cleaning'!O201+'Data cleaning'!P201+'Data cleaning'!M201)</f>
        <v>1644.3</v>
      </c>
      <c r="E201" s="64">
        <f>SUM('Data cleaning'!N201+'Data cleaning'!Q201+'Data cleaning'!AB201+'Data cleaning'!Z201)</f>
        <v>545.4</v>
      </c>
      <c r="F201" s="64">
        <f>SUM('Data cleaning'!R201+'Data cleaning'!S201+'Data cleaning'!T201)</f>
        <v>406.4</v>
      </c>
      <c r="G201" s="76">
        <f>SUM('Data cleaning'!U201+'Data cleaning'!W201)</f>
        <v>277.2</v>
      </c>
      <c r="H201" s="64">
        <v>128.1</v>
      </c>
      <c r="I201" s="64">
        <v>120.1</v>
      </c>
      <c r="J201" s="64">
        <v>144</v>
      </c>
      <c r="K201" s="64">
        <v>130.19999999999999</v>
      </c>
      <c r="L201" s="64">
        <v>137.5</v>
      </c>
      <c r="M201" s="64">
        <f>SUM('Data cleaning'!U201+'Data cleaning'!V201+'Data cleaning'!Y201+'Data cleaning'!AC201)</f>
        <v>522</v>
      </c>
    </row>
    <row r="202" spans="1:13">
      <c r="A202" s="64" t="s">
        <v>34</v>
      </c>
      <c r="B202" s="64">
        <v>2018</v>
      </c>
      <c r="C202" s="64" t="s">
        <v>40</v>
      </c>
      <c r="D202" s="64">
        <f>SUM('Data cleaning'!D202+'Data cleaning'!E202+'Data cleaning'!F202+'Data cleaning'!G202+'Data cleaning'!H202+'Data cleaning'!I202+'Data cleaning'!J202+'Data cleaning'!K202+'Data cleaning'!L202+'Data cleaning'!O202+'Data cleaning'!P202+'Data cleaning'!M202)</f>
        <v>1665</v>
      </c>
      <c r="E202" s="64">
        <f>SUM('Data cleaning'!N202+'Data cleaning'!Q202+'Data cleaning'!AB202+'Data cleaning'!Z202)</f>
        <v>551</v>
      </c>
      <c r="F202" s="64">
        <f>SUM('Data cleaning'!R202+'Data cleaning'!S202+'Data cleaning'!T202)</f>
        <v>430.80000000000007</v>
      </c>
      <c r="G202" s="76">
        <f>SUM('Data cleaning'!U202+'Data cleaning'!W202)</f>
        <v>282.2</v>
      </c>
      <c r="H202" s="64">
        <v>139.69999999999999</v>
      </c>
      <c r="I202" s="64">
        <v>123.6</v>
      </c>
      <c r="J202" s="64">
        <v>144.69999999999999</v>
      </c>
      <c r="K202" s="64">
        <v>133.19999999999999</v>
      </c>
      <c r="L202" s="64">
        <v>139.80000000000001</v>
      </c>
      <c r="M202" s="64">
        <f>SUM('Data cleaning'!U202+'Data cleaning'!V202+'Data cleaning'!Y202+'Data cleaning'!AC202)</f>
        <v>540.09999999999991</v>
      </c>
    </row>
    <row r="203" spans="1:13">
      <c r="A203" s="64" t="s">
        <v>30</v>
      </c>
      <c r="B203" s="64">
        <v>2018</v>
      </c>
      <c r="C203" s="64" t="s">
        <v>41</v>
      </c>
      <c r="D203" s="64">
        <f>SUM('Data cleaning'!D203+'Data cleaning'!E203+'Data cleaning'!F203+'Data cleaning'!G203+'Data cleaning'!H203+'Data cleaning'!I203+'Data cleaning'!J203+'Data cleaning'!K203+'Data cleaning'!L203+'Data cleaning'!O203+'Data cleaning'!P203+'Data cleaning'!M203)</f>
        <v>1685</v>
      </c>
      <c r="E203" s="64">
        <f>SUM('Data cleaning'!N203+'Data cleaning'!Q203+'Data cleaning'!AB203+'Data cleaning'!Z203)</f>
        <v>560.1</v>
      </c>
      <c r="F203" s="64">
        <f>SUM('Data cleaning'!R203+'Data cleaning'!S203+'Data cleaning'!T203)</f>
        <v>449.2</v>
      </c>
      <c r="G203" s="76">
        <f>SUM('Data cleaning'!U203+'Data cleaning'!W203)</f>
        <v>288.39999999999998</v>
      </c>
      <c r="H203" s="64">
        <v>147.69999999999999</v>
      </c>
      <c r="I203" s="64">
        <v>128.30000000000001</v>
      </c>
      <c r="J203" s="64">
        <v>146.9</v>
      </c>
      <c r="K203" s="64">
        <v>136.6</v>
      </c>
      <c r="L203" s="64">
        <v>142.5</v>
      </c>
      <c r="M203" s="64">
        <f>SUM('Data cleaning'!U203+'Data cleaning'!V203+'Data cleaning'!Y203+'Data cleaning'!AC203)</f>
        <v>557.19999999999993</v>
      </c>
    </row>
    <row r="204" spans="1:13">
      <c r="A204" s="64" t="s">
        <v>33</v>
      </c>
      <c r="B204" s="64">
        <v>2018</v>
      </c>
      <c r="C204" s="64" t="s">
        <v>41</v>
      </c>
      <c r="D204" s="64">
        <f>SUM('Data cleaning'!D204+'Data cleaning'!E204+'Data cleaning'!F204+'Data cleaning'!G204+'Data cleaning'!H204+'Data cleaning'!I204+'Data cleaning'!J204+'Data cleaning'!K204+'Data cleaning'!L204+'Data cleaning'!O204+'Data cleaning'!P204+'Data cleaning'!M204)</f>
        <v>1640.1999999999998</v>
      </c>
      <c r="E204" s="64">
        <f>SUM('Data cleaning'!N204+'Data cleaning'!Q204+'Data cleaning'!AB204+'Data cleaning'!Z204)</f>
        <v>547.6</v>
      </c>
      <c r="F204" s="64">
        <f>SUM('Data cleaning'!R204+'Data cleaning'!S204+'Data cleaning'!T204)</f>
        <v>407.3</v>
      </c>
      <c r="G204" s="76">
        <f>SUM('Data cleaning'!U204+'Data cleaning'!W204)</f>
        <v>279</v>
      </c>
      <c r="H204" s="64">
        <v>129.80000000000001</v>
      </c>
      <c r="I204" s="64">
        <v>120.7</v>
      </c>
      <c r="J204" s="64">
        <v>145.30000000000001</v>
      </c>
      <c r="K204" s="64">
        <v>131</v>
      </c>
      <c r="L204" s="64">
        <v>138</v>
      </c>
      <c r="M204" s="64">
        <f>SUM('Data cleaning'!U204+'Data cleaning'!V204+'Data cleaning'!Y204+'Data cleaning'!AC204)</f>
        <v>526.09999999999991</v>
      </c>
    </row>
    <row r="205" spans="1:13">
      <c r="A205" s="64" t="s">
        <v>34</v>
      </c>
      <c r="B205" s="64">
        <v>2018</v>
      </c>
      <c r="C205" s="64" t="s">
        <v>41</v>
      </c>
      <c r="D205" s="64">
        <f>SUM('Data cleaning'!D205+'Data cleaning'!E205+'Data cleaning'!F205+'Data cleaning'!G205+'Data cleaning'!H205+'Data cleaning'!I205+'Data cleaning'!J205+'Data cleaning'!K205+'Data cleaning'!L205+'Data cleaning'!O205+'Data cleaning'!P205+'Data cleaning'!M205)</f>
        <v>1667.6000000000004</v>
      </c>
      <c r="E205" s="64">
        <f>SUM('Data cleaning'!N205+'Data cleaning'!Q205+'Data cleaning'!AB205+'Data cleaning'!Z205)</f>
        <v>552.70000000000005</v>
      </c>
      <c r="F205" s="64">
        <f>SUM('Data cleaning'!R205+'Data cleaning'!S205+'Data cleaning'!T205)</f>
        <v>432.20000000000005</v>
      </c>
      <c r="G205" s="76">
        <f>SUM('Data cleaning'!U205+'Data cleaning'!W205)</f>
        <v>284</v>
      </c>
      <c r="H205" s="64">
        <v>140.9</v>
      </c>
      <c r="I205" s="64">
        <v>124.3</v>
      </c>
      <c r="J205" s="64">
        <v>146</v>
      </c>
      <c r="K205" s="64">
        <v>133.9</v>
      </c>
      <c r="L205" s="64">
        <v>140.4</v>
      </c>
      <c r="M205" s="64">
        <f>SUM('Data cleaning'!U205+'Data cleaning'!V205+'Data cleaning'!Y205+'Data cleaning'!AC205)</f>
        <v>543.70000000000005</v>
      </c>
    </row>
    <row r="206" spans="1:13">
      <c r="A206" s="64" t="s">
        <v>30</v>
      </c>
      <c r="B206" s="64">
        <v>2018</v>
      </c>
      <c r="C206" s="64" t="s">
        <v>42</v>
      </c>
      <c r="D206" s="64">
        <f>SUM('Data cleaning'!D206+'Data cleaning'!E206+'Data cleaning'!F206+'Data cleaning'!G206+'Data cleaning'!H206+'Data cleaning'!I206+'Data cleaning'!J206+'Data cleaning'!K206+'Data cleaning'!L206+'Data cleaning'!O206+'Data cleaning'!P206+'Data cleaning'!M206)</f>
        <v>1666.7000000000003</v>
      </c>
      <c r="E206" s="64">
        <f>SUM('Data cleaning'!N206+'Data cleaning'!Q206+'Data cleaning'!AB206+'Data cleaning'!Z206)</f>
        <v>562.79999999999995</v>
      </c>
      <c r="F206" s="64">
        <f>SUM('Data cleaning'!R206+'Data cleaning'!S206+'Data cleaning'!T206)</f>
        <v>449.5</v>
      </c>
      <c r="G206" s="76">
        <f>SUM('Data cleaning'!U206+'Data cleaning'!W206)</f>
        <v>289.3</v>
      </c>
      <c r="H206" s="64">
        <v>149</v>
      </c>
      <c r="I206" s="64">
        <v>129.9</v>
      </c>
      <c r="J206" s="64">
        <v>147.6</v>
      </c>
      <c r="K206" s="64">
        <v>137.4</v>
      </c>
      <c r="L206" s="64">
        <v>142.1</v>
      </c>
      <c r="M206" s="64">
        <f>SUM('Data cleaning'!U206+'Data cleaning'!V206+'Data cleaning'!Y206+'Data cleaning'!AC206)</f>
        <v>561.6</v>
      </c>
    </row>
    <row r="207" spans="1:13">
      <c r="A207" s="64" t="s">
        <v>33</v>
      </c>
      <c r="B207" s="64">
        <v>2018</v>
      </c>
      <c r="C207" s="64" t="s">
        <v>42</v>
      </c>
      <c r="D207" s="64">
        <f>SUM('Data cleaning'!D207+'Data cleaning'!E207+'Data cleaning'!F207+'Data cleaning'!G207+'Data cleaning'!H207+'Data cleaning'!I207+'Data cleaning'!J207+'Data cleaning'!K207+'Data cleaning'!L207+'Data cleaning'!O207+'Data cleaning'!P207+'Data cleaning'!M207)</f>
        <v>1620.7</v>
      </c>
      <c r="E207" s="64">
        <f>SUM('Data cleaning'!N207+'Data cleaning'!Q207+'Data cleaning'!AB207+'Data cleaning'!Z207)</f>
        <v>550.5</v>
      </c>
      <c r="F207" s="64">
        <f>SUM('Data cleaning'!R207+'Data cleaning'!S207+'Data cleaning'!T207)</f>
        <v>409.20000000000005</v>
      </c>
      <c r="G207" s="76">
        <f>SUM('Data cleaning'!U207+'Data cleaning'!W207)</f>
        <v>280.20000000000005</v>
      </c>
      <c r="H207" s="64">
        <v>131.19999999999999</v>
      </c>
      <c r="I207" s="64">
        <v>122.5</v>
      </c>
      <c r="J207" s="64">
        <v>145.19999999999999</v>
      </c>
      <c r="K207" s="64">
        <v>131.9</v>
      </c>
      <c r="L207" s="64">
        <v>138.1</v>
      </c>
      <c r="M207" s="64">
        <f>SUM('Data cleaning'!U207+'Data cleaning'!V207+'Data cleaning'!Y207+'Data cleaning'!AC207)</f>
        <v>530.9</v>
      </c>
    </row>
    <row r="208" spans="1:13">
      <c r="A208" s="64" t="s">
        <v>34</v>
      </c>
      <c r="B208" s="64">
        <v>2018</v>
      </c>
      <c r="C208" s="64" t="s">
        <v>42</v>
      </c>
      <c r="D208" s="64">
        <f>SUM('Data cleaning'!D208+'Data cleaning'!E208+'Data cleaning'!F208+'Data cleaning'!G208+'Data cleaning'!H208+'Data cleaning'!I208+'Data cleaning'!J208+'Data cleaning'!K208+'Data cleaning'!L208+'Data cleaning'!O208+'Data cleaning'!P208+'Data cleaning'!M208)</f>
        <v>1648.7</v>
      </c>
      <c r="E208" s="64">
        <f>SUM('Data cleaning'!N208+'Data cleaning'!Q208+'Data cleaning'!AB208+'Data cleaning'!Z208)</f>
        <v>555.4</v>
      </c>
      <c r="F208" s="64">
        <f>SUM('Data cleaning'!R208+'Data cleaning'!S208+'Data cleaning'!T208)</f>
        <v>433.29999999999995</v>
      </c>
      <c r="G208" s="76">
        <f>SUM('Data cleaning'!U208+'Data cleaning'!W208)</f>
        <v>285</v>
      </c>
      <c r="H208" s="64">
        <v>142.30000000000001</v>
      </c>
      <c r="I208" s="64">
        <v>126</v>
      </c>
      <c r="J208" s="64">
        <v>146.19999999999999</v>
      </c>
      <c r="K208" s="64">
        <v>134.69999999999999</v>
      </c>
      <c r="L208" s="64">
        <v>140.19999999999999</v>
      </c>
      <c r="M208" s="64">
        <f>SUM('Data cleaning'!U208+'Data cleaning'!V208+'Data cleaning'!Y208+'Data cleaning'!AC208)</f>
        <v>548.29999999999995</v>
      </c>
    </row>
    <row r="209" spans="1:13">
      <c r="A209" s="64" t="s">
        <v>30</v>
      </c>
      <c r="B209" s="64">
        <v>2018</v>
      </c>
      <c r="C209" s="64" t="s">
        <v>43</v>
      </c>
      <c r="D209" s="64">
        <f>SUM('Data cleaning'!D209+'Data cleaning'!E209+'Data cleaning'!F209+'Data cleaning'!G209+'Data cleaning'!H209+'Data cleaning'!I209+'Data cleaning'!J209+'Data cleaning'!K209+'Data cleaning'!L209+'Data cleaning'!O209+'Data cleaning'!P209+'Data cleaning'!M209)</f>
        <v>1647.6000000000001</v>
      </c>
      <c r="E209" s="64">
        <f>SUM('Data cleaning'!N209+'Data cleaning'!Q209+'Data cleaning'!AB209+'Data cleaning'!Z209)</f>
        <v>568.70000000000005</v>
      </c>
      <c r="F209" s="64">
        <f>SUM('Data cleaning'!R209+'Data cleaning'!S209+'Data cleaning'!T209)</f>
        <v>445</v>
      </c>
      <c r="G209" s="76">
        <f>SUM('Data cleaning'!U209+'Data cleaning'!W209)</f>
        <v>293.8</v>
      </c>
      <c r="H209" s="64">
        <v>149.69999999999999</v>
      </c>
      <c r="I209" s="64">
        <v>130.80000000000001</v>
      </c>
      <c r="J209" s="64">
        <v>148</v>
      </c>
      <c r="K209" s="64">
        <v>139.80000000000001</v>
      </c>
      <c r="L209" s="64">
        <v>142.19999999999999</v>
      </c>
      <c r="M209" s="64">
        <f>SUM('Data cleaning'!U209+'Data cleaning'!V209+'Data cleaning'!Y209+'Data cleaning'!AC209)</f>
        <v>566.6</v>
      </c>
    </row>
    <row r="210" spans="1:13">
      <c r="A210" s="64" t="s">
        <v>33</v>
      </c>
      <c r="B210" s="64">
        <v>2018</v>
      </c>
      <c r="C210" s="64" t="s">
        <v>43</v>
      </c>
      <c r="D210" s="64">
        <f>SUM('Data cleaning'!D210+'Data cleaning'!E210+'Data cleaning'!F210+'Data cleaning'!G210+'Data cleaning'!H210+'Data cleaning'!I210+'Data cleaning'!J210+'Data cleaning'!K210+'Data cleaning'!L210+'Data cleaning'!O210+'Data cleaning'!P210+'Data cleaning'!M210)</f>
        <v>1626.5</v>
      </c>
      <c r="E210" s="64">
        <f>SUM('Data cleaning'!N210+'Data cleaning'!Q210+'Data cleaning'!AB210+'Data cleaning'!Z210)</f>
        <v>552.70000000000005</v>
      </c>
      <c r="F210" s="64">
        <f>SUM('Data cleaning'!R210+'Data cleaning'!S210+'Data cleaning'!T210)</f>
        <v>411</v>
      </c>
      <c r="G210" s="76">
        <f>SUM('Data cleaning'!U210+'Data cleaning'!W210)</f>
        <v>281.39999999999998</v>
      </c>
      <c r="H210" s="64">
        <v>133.4</v>
      </c>
      <c r="I210" s="64">
        <v>123.3</v>
      </c>
      <c r="J210" s="64">
        <v>145.5</v>
      </c>
      <c r="K210" s="64">
        <v>132.5</v>
      </c>
      <c r="L210" s="64">
        <v>138.9</v>
      </c>
      <c r="M210" s="64">
        <f>SUM('Data cleaning'!U210+'Data cleaning'!V210+'Data cleaning'!Y210+'Data cleaning'!AC210)</f>
        <v>535.5</v>
      </c>
    </row>
    <row r="211" spans="1:13">
      <c r="A211" s="64" t="s">
        <v>34</v>
      </c>
      <c r="B211" s="64">
        <v>2018</v>
      </c>
      <c r="C211" s="64" t="s">
        <v>43</v>
      </c>
      <c r="D211" s="64">
        <f>SUM('Data cleaning'!D211+'Data cleaning'!E211+'Data cleaning'!F211+'Data cleaning'!G211+'Data cleaning'!H211+'Data cleaning'!I211+'Data cleaning'!J211+'Data cleaning'!K211+'Data cleaning'!L211+'Data cleaning'!O211+'Data cleaning'!P211+'Data cleaning'!M211)</f>
        <v>1642.6000000000001</v>
      </c>
      <c r="E211" s="64">
        <f>SUM('Data cleaning'!N211+'Data cleaning'!Q211+'Data cleaning'!AB211+'Data cleaning'!Z211)</f>
        <v>564.70000000000005</v>
      </c>
      <c r="F211" s="64">
        <f>SUM('Data cleaning'!R211+'Data cleaning'!S211+'Data cleaning'!T211)</f>
        <v>434</v>
      </c>
      <c r="G211" s="76">
        <f>SUM('Data cleaning'!U211+'Data cleaning'!W211)</f>
        <v>289.10000000000002</v>
      </c>
      <c r="H211" s="64">
        <v>145.30000000000001</v>
      </c>
      <c r="I211" s="64">
        <v>125.5</v>
      </c>
      <c r="J211" s="64">
        <v>147.80000000000001</v>
      </c>
      <c r="K211" s="64">
        <v>136.30000000000001</v>
      </c>
      <c r="L211" s="64">
        <v>140.80000000000001</v>
      </c>
      <c r="M211" s="64">
        <f>SUM('Data cleaning'!U211+'Data cleaning'!V211+'Data cleaning'!Y211+'Data cleaning'!AC211)</f>
        <v>554</v>
      </c>
    </row>
    <row r="212" spans="1:13">
      <c r="A212" s="64" t="s">
        <v>30</v>
      </c>
      <c r="B212" s="64">
        <v>2018</v>
      </c>
      <c r="C212" s="64" t="s">
        <v>45</v>
      </c>
      <c r="D212" s="64">
        <f>SUM('Data cleaning'!D212+'Data cleaning'!E212+'Data cleaning'!F212+'Data cleaning'!G212+'Data cleaning'!H212+'Data cleaning'!I212+'Data cleaning'!J212+'Data cleaning'!K212+'Data cleaning'!L212+'Data cleaning'!O212+'Data cleaning'!P212+'Data cleaning'!M212)</f>
        <v>1649.9999999999995</v>
      </c>
      <c r="E212" s="64">
        <f>SUM('Data cleaning'!N212+'Data cleaning'!Q212+'Data cleaning'!AB212+'Data cleaning'!Z212)</f>
        <v>575.6</v>
      </c>
      <c r="F212" s="64">
        <f>SUM('Data cleaning'!R212+'Data cleaning'!S212+'Data cleaning'!T212)</f>
        <v>448</v>
      </c>
      <c r="G212" s="76">
        <f>SUM('Data cleaning'!U212+'Data cleaning'!W212)</f>
        <v>294.89999999999998</v>
      </c>
      <c r="H212" s="64">
        <v>150.30000000000001</v>
      </c>
      <c r="I212" s="64">
        <v>130.30000000000001</v>
      </c>
      <c r="J212" s="64">
        <v>150.19999999999999</v>
      </c>
      <c r="K212" s="64">
        <v>140.1</v>
      </c>
      <c r="L212" s="64">
        <v>142.4</v>
      </c>
      <c r="M212" s="64">
        <f>SUM('Data cleaning'!U212+'Data cleaning'!V212+'Data cleaning'!Y212+'Data cleaning'!AC212)</f>
        <v>567.6</v>
      </c>
    </row>
    <row r="213" spans="1:13">
      <c r="A213" s="64" t="s">
        <v>33</v>
      </c>
      <c r="B213" s="64">
        <v>2018</v>
      </c>
      <c r="C213" s="64" t="s">
        <v>45</v>
      </c>
      <c r="D213" s="64">
        <f>SUM('Data cleaning'!D213+'Data cleaning'!E213+'Data cleaning'!F213+'Data cleaning'!G213+'Data cleaning'!H213+'Data cleaning'!I213+'Data cleaning'!J213+'Data cleaning'!K213+'Data cleaning'!L213+'Data cleaning'!O213+'Data cleaning'!P213+'Data cleaning'!M213)</f>
        <v>1629.4999999999998</v>
      </c>
      <c r="E213" s="64">
        <f>SUM('Data cleaning'!N213+'Data cleaning'!Q213+'Data cleaning'!AB213+'Data cleaning'!Z213)</f>
        <v>554.20000000000005</v>
      </c>
      <c r="F213" s="64">
        <f>SUM('Data cleaning'!R213+'Data cleaning'!S213+'Data cleaning'!T213)</f>
        <v>413.1</v>
      </c>
      <c r="G213" s="76">
        <f>SUM('Data cleaning'!U213+'Data cleaning'!W213)</f>
        <v>282.70000000000005</v>
      </c>
      <c r="H213" s="64">
        <v>136.69999999999999</v>
      </c>
      <c r="I213" s="64">
        <v>121.2</v>
      </c>
      <c r="J213" s="64">
        <v>146.1</v>
      </c>
      <c r="K213" s="64">
        <v>132.19999999999999</v>
      </c>
      <c r="L213" s="64">
        <v>139</v>
      </c>
      <c r="M213" s="64">
        <f>SUM('Data cleaning'!U213+'Data cleaning'!V213+'Data cleaning'!Y213+'Data cleaning'!AC213)</f>
        <v>537</v>
      </c>
    </row>
    <row r="214" spans="1:13">
      <c r="A214" s="64" t="s">
        <v>34</v>
      </c>
      <c r="B214" s="64">
        <v>2018</v>
      </c>
      <c r="C214" s="64" t="s">
        <v>45</v>
      </c>
      <c r="D214" s="64">
        <f>SUM('Data cleaning'!D214+'Data cleaning'!E214+'Data cleaning'!F214+'Data cleaning'!G214+'Data cleaning'!H214+'Data cleaning'!I214+'Data cleaning'!J214+'Data cleaning'!K214+'Data cleaning'!L214+'Data cleaning'!O214+'Data cleaning'!P214+'Data cleaning'!M214)</f>
        <v>1642.2000000000003</v>
      </c>
      <c r="E214" s="64">
        <f>SUM('Data cleaning'!N214+'Data cleaning'!Q214+'Data cleaning'!AB214+'Data cleaning'!Z214)</f>
        <v>564.6</v>
      </c>
      <c r="F214" s="64">
        <f>SUM('Data cleaning'!R214+'Data cleaning'!S214+'Data cleaning'!T214)</f>
        <v>433.8</v>
      </c>
      <c r="G214" s="76">
        <f>SUM('Data cleaning'!U214+'Data cleaning'!W214)</f>
        <v>289.10000000000002</v>
      </c>
      <c r="H214" s="64">
        <v>145.1</v>
      </c>
      <c r="I214" s="64">
        <v>125.5</v>
      </c>
      <c r="J214" s="64">
        <v>147.80000000000001</v>
      </c>
      <c r="K214" s="64">
        <v>136.30000000000001</v>
      </c>
      <c r="L214" s="64">
        <v>140.80000000000001</v>
      </c>
      <c r="M214" s="64">
        <f>SUM('Data cleaning'!U214+'Data cleaning'!V214+'Data cleaning'!Y214+'Data cleaning'!AC214)</f>
        <v>553.79999999999995</v>
      </c>
    </row>
    <row r="215" spans="1:13">
      <c r="A215" s="64" t="s">
        <v>30</v>
      </c>
      <c r="B215" s="64">
        <v>2018</v>
      </c>
      <c r="C215" s="64" t="s">
        <v>46</v>
      </c>
      <c r="D215" s="64">
        <f>SUM('Data cleaning'!D215+'Data cleaning'!E215+'Data cleaning'!F215+'Data cleaning'!G215+'Data cleaning'!H215+'Data cleaning'!I215+'Data cleaning'!J215+'Data cleaning'!K215+'Data cleaning'!L215+'Data cleaning'!O215+'Data cleaning'!P215+'Data cleaning'!M215)</f>
        <v>1635.3000000000002</v>
      </c>
      <c r="E215" s="64">
        <f>SUM('Data cleaning'!N215+'Data cleaning'!Q215+'Data cleaning'!AB215+'Data cleaning'!Z215)</f>
        <v>576.70000000000005</v>
      </c>
      <c r="F215" s="64">
        <f>SUM('Data cleaning'!R215+'Data cleaning'!S215+'Data cleaning'!T215)</f>
        <v>448.3</v>
      </c>
      <c r="G215" s="76">
        <f>SUM('Data cleaning'!U215+'Data cleaning'!W215)</f>
        <v>296</v>
      </c>
      <c r="H215" s="64">
        <v>149</v>
      </c>
      <c r="I215" s="64">
        <v>128.9</v>
      </c>
      <c r="J215" s="64">
        <v>155.1</v>
      </c>
      <c r="K215" s="64">
        <v>141.6</v>
      </c>
      <c r="L215" s="64">
        <v>141.9</v>
      </c>
      <c r="M215" s="64">
        <f>SUM('Data cleaning'!U215+'Data cleaning'!V215+'Data cleaning'!Y215+'Data cleaning'!AC215)</f>
        <v>566</v>
      </c>
    </row>
    <row r="216" spans="1:13">
      <c r="A216" s="64" t="s">
        <v>33</v>
      </c>
      <c r="B216" s="64">
        <v>2018</v>
      </c>
      <c r="C216" s="64" t="s">
        <v>46</v>
      </c>
      <c r="D216" s="64">
        <f>SUM('Data cleaning'!D216+'Data cleaning'!E216+'Data cleaning'!F216+'Data cleaning'!G216+'Data cleaning'!H216+'Data cleaning'!I216+'Data cleaning'!J216+'Data cleaning'!K216+'Data cleaning'!L216+'Data cleaning'!O216+'Data cleaning'!P216+'Data cleaning'!M216)</f>
        <v>1618.5</v>
      </c>
      <c r="E216" s="64">
        <f>SUM('Data cleaning'!N216+'Data cleaning'!Q216+'Data cleaning'!AB216+'Data cleaning'!Z216)</f>
        <v>555.20000000000005</v>
      </c>
      <c r="F216" s="64">
        <f>SUM('Data cleaning'!R216+'Data cleaning'!S216+'Data cleaning'!T216)</f>
        <v>413.8</v>
      </c>
      <c r="G216" s="76">
        <f>SUM('Data cleaning'!U216+'Data cleaning'!W216)</f>
        <v>282.7</v>
      </c>
      <c r="H216" s="64">
        <v>132.4</v>
      </c>
      <c r="I216" s="64">
        <v>118.8</v>
      </c>
      <c r="J216" s="64">
        <v>146.5</v>
      </c>
      <c r="K216" s="64">
        <v>131.69999999999999</v>
      </c>
      <c r="L216" s="64">
        <v>138</v>
      </c>
      <c r="M216" s="64">
        <f>SUM('Data cleaning'!U216+'Data cleaning'!V216+'Data cleaning'!Y216+'Data cleaning'!AC216)</f>
        <v>529.4</v>
      </c>
    </row>
    <row r="217" spans="1:13">
      <c r="A217" s="64" t="s">
        <v>34</v>
      </c>
      <c r="B217" s="64">
        <v>2018</v>
      </c>
      <c r="C217" s="64" t="s">
        <v>46</v>
      </c>
      <c r="D217" s="64">
        <f>SUM('Data cleaning'!D217+'Data cleaning'!E217+'Data cleaning'!F217+'Data cleaning'!G217+'Data cleaning'!H217+'Data cleaning'!I217+'Data cleaning'!J217+'Data cleaning'!K217+'Data cleaning'!L217+'Data cleaning'!O217+'Data cleaning'!P217+'Data cleaning'!M217)</f>
        <v>1628.9999999999998</v>
      </c>
      <c r="E217" s="64">
        <f>SUM('Data cleaning'!N217+'Data cleaning'!Q217+'Data cleaning'!AB217+'Data cleaning'!Z217)</f>
        <v>565.79999999999995</v>
      </c>
      <c r="F217" s="64">
        <f>SUM('Data cleaning'!R217+'Data cleaning'!S217+'Data cleaning'!T217)</f>
        <v>434.3</v>
      </c>
      <c r="G217" s="76">
        <f>SUM('Data cleaning'!U217+'Data cleaning'!W217)</f>
        <v>289.7</v>
      </c>
      <c r="H217" s="64">
        <v>142.69999999999999</v>
      </c>
      <c r="I217" s="64">
        <v>123.6</v>
      </c>
      <c r="J217" s="64">
        <v>150.1</v>
      </c>
      <c r="K217" s="64">
        <v>136.80000000000001</v>
      </c>
      <c r="L217" s="64">
        <v>140.1</v>
      </c>
      <c r="M217" s="64">
        <f>SUM('Data cleaning'!U217+'Data cleaning'!V217+'Data cleaning'!Y217+'Data cleaning'!AC217)</f>
        <v>549.59999999999991</v>
      </c>
    </row>
    <row r="218" spans="1:13">
      <c r="A218" s="64" t="s">
        <v>30</v>
      </c>
      <c r="B218" s="64">
        <v>2019</v>
      </c>
      <c r="C218" s="64" t="s">
        <v>31</v>
      </c>
      <c r="D218" s="64">
        <f>SUM('Data cleaning'!D218+'Data cleaning'!E218+'Data cleaning'!F218+'Data cleaning'!G218+'Data cleaning'!H218+'Data cleaning'!I218+'Data cleaning'!J218+'Data cleaning'!K218+'Data cleaning'!L218+'Data cleaning'!O218+'Data cleaning'!P218+'Data cleaning'!M218)</f>
        <v>1622.6000000000001</v>
      </c>
      <c r="E218" s="64">
        <f>SUM('Data cleaning'!N218+'Data cleaning'!Q218+'Data cleaning'!AB218+'Data cleaning'!Z218)</f>
        <v>576.1</v>
      </c>
      <c r="F218" s="64">
        <f>SUM('Data cleaning'!R218+'Data cleaning'!S218+'Data cleaning'!T218)</f>
        <v>445.6</v>
      </c>
      <c r="G218" s="76">
        <f>SUM('Data cleaning'!U218+'Data cleaning'!W218)</f>
        <v>297.79999999999995</v>
      </c>
      <c r="H218" s="64">
        <v>146.19999999999999</v>
      </c>
      <c r="I218" s="64">
        <v>128.6</v>
      </c>
      <c r="J218" s="64">
        <v>155.19999999999999</v>
      </c>
      <c r="K218" s="64">
        <v>141.69999999999999</v>
      </c>
      <c r="L218" s="64">
        <v>141</v>
      </c>
      <c r="M218" s="64">
        <f>SUM('Data cleaning'!U218+'Data cleaning'!V218+'Data cleaning'!Y218+'Data cleaning'!AC218)</f>
        <v>564.20000000000005</v>
      </c>
    </row>
    <row r="219" spans="1:13">
      <c r="A219" s="64" t="s">
        <v>33</v>
      </c>
      <c r="B219" s="64">
        <v>2019</v>
      </c>
      <c r="C219" s="64" t="s">
        <v>31</v>
      </c>
      <c r="D219" s="64">
        <f>SUM('Data cleaning'!D219+'Data cleaning'!E219+'Data cleaning'!F219+'Data cleaning'!G219+'Data cleaning'!H219+'Data cleaning'!I219+'Data cleaning'!J219+'Data cleaning'!K219+'Data cleaning'!L219+'Data cleaning'!O219+'Data cleaning'!P219+'Data cleaning'!M219)</f>
        <v>1616.2000000000003</v>
      </c>
      <c r="E219" s="64">
        <f>SUM('Data cleaning'!N219+'Data cleaning'!Q219+'Data cleaning'!AB219+'Data cleaning'!Z219)</f>
        <v>556.4</v>
      </c>
      <c r="F219" s="64">
        <f>SUM('Data cleaning'!R219+'Data cleaning'!S219+'Data cleaning'!T219)</f>
        <v>414.5</v>
      </c>
      <c r="G219" s="76">
        <f>SUM('Data cleaning'!U219+'Data cleaning'!W219)</f>
        <v>284</v>
      </c>
      <c r="H219" s="64">
        <v>128.6</v>
      </c>
      <c r="I219" s="64">
        <v>118.6</v>
      </c>
      <c r="J219" s="64">
        <v>146.6</v>
      </c>
      <c r="K219" s="64">
        <v>131.80000000000001</v>
      </c>
      <c r="L219" s="64">
        <v>138</v>
      </c>
      <c r="M219" s="64">
        <f>SUM('Data cleaning'!U219+'Data cleaning'!V219+'Data cleaning'!Y219+'Data cleaning'!AC219)</f>
        <v>526.70000000000005</v>
      </c>
    </row>
    <row r="220" spans="1:13">
      <c r="A220" s="64" t="s">
        <v>34</v>
      </c>
      <c r="B220" s="64">
        <v>2019</v>
      </c>
      <c r="C220" s="64" t="s">
        <v>31</v>
      </c>
      <c r="D220" s="64">
        <f>SUM('Data cleaning'!D220+'Data cleaning'!E220+'Data cleaning'!F220+'Data cleaning'!G220+'Data cleaning'!H220+'Data cleaning'!I220+'Data cleaning'!J220+'Data cleaning'!K220+'Data cleaning'!L220+'Data cleaning'!O220+'Data cleaning'!P220+'Data cleaning'!M220)</f>
        <v>1620.1</v>
      </c>
      <c r="E220" s="64">
        <f>SUM('Data cleaning'!N220+'Data cleaning'!Q220+'Data cleaning'!AB220+'Data cleaning'!Z220)</f>
        <v>566</v>
      </c>
      <c r="F220" s="64">
        <f>SUM('Data cleaning'!R220+'Data cleaning'!S220+'Data cleaning'!T220)</f>
        <v>433</v>
      </c>
      <c r="G220" s="76">
        <f>SUM('Data cleaning'!U220+'Data cleaning'!W220)</f>
        <v>291.29999999999995</v>
      </c>
      <c r="H220" s="64">
        <v>139.5</v>
      </c>
      <c r="I220" s="64">
        <v>123.3</v>
      </c>
      <c r="J220" s="64">
        <v>150.19999999999999</v>
      </c>
      <c r="K220" s="64">
        <v>136.9</v>
      </c>
      <c r="L220" s="64">
        <v>139.6</v>
      </c>
      <c r="M220" s="64">
        <f>SUM('Data cleaning'!U220+'Data cleaning'!V220+'Data cleaning'!Y220+'Data cleaning'!AC220)</f>
        <v>547.4</v>
      </c>
    </row>
    <row r="221" spans="1:13">
      <c r="A221" s="64" t="s">
        <v>30</v>
      </c>
      <c r="B221" s="64">
        <v>2019</v>
      </c>
      <c r="C221" s="64" t="s">
        <v>35</v>
      </c>
      <c r="D221" s="64">
        <f>SUM('Data cleaning'!D221+'Data cleaning'!E221+'Data cleaning'!F221+'Data cleaning'!G221+'Data cleaning'!H221+'Data cleaning'!I221+'Data cleaning'!J221+'Data cleaning'!K221+'Data cleaning'!L221+'Data cleaning'!O221+'Data cleaning'!P221+'Data cleaning'!M221)</f>
        <v>1622.4</v>
      </c>
      <c r="E221" s="64">
        <f>SUM('Data cleaning'!N221+'Data cleaning'!Q221+'Data cleaning'!AB221+'Data cleaning'!Z221)</f>
        <v>578.5</v>
      </c>
      <c r="F221" s="64">
        <f>SUM('Data cleaning'!R221+'Data cleaning'!S221+'Data cleaning'!T221)</f>
        <v>446.5</v>
      </c>
      <c r="G221" s="76">
        <f>SUM('Data cleaning'!U221+'Data cleaning'!W221)</f>
        <v>298.60000000000002</v>
      </c>
      <c r="H221" s="64">
        <v>145.30000000000001</v>
      </c>
      <c r="I221" s="64">
        <v>129.19999999999999</v>
      </c>
      <c r="J221" s="64">
        <v>155.5</v>
      </c>
      <c r="K221" s="64">
        <v>142.19999999999999</v>
      </c>
      <c r="L221" s="64">
        <v>141</v>
      </c>
      <c r="M221" s="64">
        <f>SUM('Data cleaning'!U221+'Data cleaning'!V221+'Data cleaning'!Y221+'Data cleaning'!AC221)</f>
        <v>565.20000000000005</v>
      </c>
    </row>
    <row r="222" spans="1:13">
      <c r="A222" s="64" t="s">
        <v>33</v>
      </c>
      <c r="B222" s="64">
        <v>2019</v>
      </c>
      <c r="C222" s="64" t="s">
        <v>35</v>
      </c>
      <c r="D222" s="64">
        <f>SUM('Data cleaning'!D222+'Data cleaning'!E222+'Data cleaning'!F222+'Data cleaning'!G222+'Data cleaning'!H222+'Data cleaning'!I222+'Data cleaning'!J222+'Data cleaning'!K222+'Data cleaning'!L222+'Data cleaning'!O222+'Data cleaning'!P222+'Data cleaning'!M222)</f>
        <v>1626.1000000000001</v>
      </c>
      <c r="E222" s="64">
        <f>SUM('Data cleaning'!N222+'Data cleaning'!Q222+'Data cleaning'!AB222+'Data cleaning'!Z222)</f>
        <v>558.40000000000009</v>
      </c>
      <c r="F222" s="64">
        <f>SUM('Data cleaning'!R222+'Data cleaning'!S222+'Data cleaning'!T222)</f>
        <v>415.5</v>
      </c>
      <c r="G222" s="76">
        <f>SUM('Data cleaning'!U222+'Data cleaning'!W222)</f>
        <v>285.10000000000002</v>
      </c>
      <c r="H222" s="64">
        <v>127.1</v>
      </c>
      <c r="I222" s="64">
        <v>119.2</v>
      </c>
      <c r="J222" s="64">
        <v>146.6</v>
      </c>
      <c r="K222" s="64">
        <v>132.4</v>
      </c>
      <c r="L222" s="64">
        <v>138.6</v>
      </c>
      <c r="M222" s="64">
        <f>SUM('Data cleaning'!U222+'Data cleaning'!V222+'Data cleaning'!Y222+'Data cleaning'!AC222)</f>
        <v>527.20000000000005</v>
      </c>
    </row>
    <row r="223" spans="1:13">
      <c r="A223" s="64" t="s">
        <v>34</v>
      </c>
      <c r="B223" s="64">
        <v>2019</v>
      </c>
      <c r="C223" s="64" t="s">
        <v>35</v>
      </c>
      <c r="D223" s="64">
        <f>SUM('Data cleaning'!D223+'Data cleaning'!E223+'Data cleaning'!F223+'Data cleaning'!G223+'Data cleaning'!H223+'Data cleaning'!I223+'Data cleaning'!J223+'Data cleaning'!K223+'Data cleaning'!L223+'Data cleaning'!O223+'Data cleaning'!P223+'Data cleaning'!M223)</f>
        <v>1623.5</v>
      </c>
      <c r="E223" s="64">
        <f>SUM('Data cleaning'!N223+'Data cleaning'!Q223+'Data cleaning'!AB223+'Data cleaning'!Z223)</f>
        <v>568.20000000000005</v>
      </c>
      <c r="F223" s="64">
        <f>SUM('Data cleaning'!R223+'Data cleaning'!S223+'Data cleaning'!T223)</f>
        <v>433.9</v>
      </c>
      <c r="G223" s="76">
        <f>SUM('Data cleaning'!U223+'Data cleaning'!W223)</f>
        <v>292.2</v>
      </c>
      <c r="H223" s="64">
        <v>138.4</v>
      </c>
      <c r="I223" s="64">
        <v>123.9</v>
      </c>
      <c r="J223" s="64">
        <v>150.30000000000001</v>
      </c>
      <c r="K223" s="64">
        <v>137.4</v>
      </c>
      <c r="L223" s="64">
        <v>139.9</v>
      </c>
      <c r="M223" s="64">
        <f>SUM('Data cleaning'!U223+'Data cleaning'!V223+'Data cleaning'!Y223+'Data cleaning'!AC223)</f>
        <v>548.19999999999993</v>
      </c>
    </row>
    <row r="224" spans="1:13">
      <c r="A224" s="64" t="s">
        <v>30</v>
      </c>
      <c r="B224" s="64">
        <v>2019</v>
      </c>
      <c r="C224" s="64" t="s">
        <v>36</v>
      </c>
      <c r="D224" s="64">
        <f>SUM('Data cleaning'!D224+'Data cleaning'!E224+'Data cleaning'!F224+'Data cleaning'!G224+'Data cleaning'!H224+'Data cleaning'!I224+'Data cleaning'!J224+'Data cleaning'!K224+'Data cleaning'!L224+'Data cleaning'!O224+'Data cleaning'!P224+'Data cleaning'!M224)</f>
        <v>1623.8000000000002</v>
      </c>
      <c r="E224" s="64">
        <f>SUM('Data cleaning'!N224+'Data cleaning'!Q224+'Data cleaning'!AB224+'Data cleaning'!Z224)</f>
        <v>578.1</v>
      </c>
      <c r="F224" s="64">
        <f>SUM('Data cleaning'!R224+'Data cleaning'!S224+'Data cleaning'!T224)</f>
        <v>447</v>
      </c>
      <c r="G224" s="76">
        <f>SUM('Data cleaning'!U224+'Data cleaning'!W224)</f>
        <v>299</v>
      </c>
      <c r="H224" s="64">
        <v>146.4</v>
      </c>
      <c r="I224" s="64">
        <v>129.9</v>
      </c>
      <c r="J224" s="64">
        <v>155.5</v>
      </c>
      <c r="K224" s="64">
        <v>142.4</v>
      </c>
      <c r="L224" s="64">
        <v>141.19999999999999</v>
      </c>
      <c r="M224" s="64">
        <f>SUM('Data cleaning'!U224+'Data cleaning'!V224+'Data cleaning'!Y224+'Data cleaning'!AC224)</f>
        <v>567.69999999999993</v>
      </c>
    </row>
    <row r="225" spans="1:13">
      <c r="A225" s="64" t="s">
        <v>33</v>
      </c>
      <c r="B225" s="64">
        <v>2019</v>
      </c>
      <c r="C225" s="64" t="s">
        <v>36</v>
      </c>
      <c r="D225" s="64">
        <f>SUM('Data cleaning'!D225+'Data cleaning'!E225+'Data cleaning'!F225+'Data cleaning'!G225+'Data cleaning'!H225+'Data cleaning'!I225+'Data cleaning'!J225+'Data cleaning'!K225+'Data cleaning'!L225+'Data cleaning'!O225+'Data cleaning'!P225+'Data cleaning'!M225)</f>
        <v>1639.9</v>
      </c>
      <c r="E225" s="64">
        <f>SUM('Data cleaning'!N225+'Data cleaning'!Q225+'Data cleaning'!AB225+'Data cleaning'!Z225)</f>
        <v>559.29999999999995</v>
      </c>
      <c r="F225" s="64">
        <f>SUM('Data cleaning'!R225+'Data cleaning'!S225+'Data cleaning'!T225)</f>
        <v>416.29999999999995</v>
      </c>
      <c r="G225" s="76">
        <f>SUM('Data cleaning'!U225+'Data cleaning'!W225)</f>
        <v>285.8</v>
      </c>
      <c r="H225" s="64">
        <v>128.80000000000001</v>
      </c>
      <c r="I225" s="64">
        <v>119.9</v>
      </c>
      <c r="J225" s="64">
        <v>146.69999999999999</v>
      </c>
      <c r="K225" s="64">
        <v>132.80000000000001</v>
      </c>
      <c r="L225" s="64">
        <v>139.5</v>
      </c>
      <c r="M225" s="64">
        <f>SUM('Data cleaning'!U225+'Data cleaning'!V225+'Data cleaning'!Y225+'Data cleaning'!AC225)</f>
        <v>530.5</v>
      </c>
    </row>
    <row r="226" spans="1:13">
      <c r="A226" s="64" t="s">
        <v>34</v>
      </c>
      <c r="B226" s="64">
        <v>2019</v>
      </c>
      <c r="C226" s="64" t="s">
        <v>36</v>
      </c>
      <c r="D226" s="64">
        <f>SUM('Data cleaning'!D226+'Data cleaning'!E226+'Data cleaning'!F226+'Data cleaning'!G226+'Data cleaning'!H226+'Data cleaning'!I226+'Data cleaning'!J226+'Data cleaning'!K226+'Data cleaning'!L226+'Data cleaning'!O226+'Data cleaning'!P226+'Data cleaning'!M226)</f>
        <v>1629.2</v>
      </c>
      <c r="E226" s="64">
        <f>SUM('Data cleaning'!N226+'Data cleaning'!Q226+'Data cleaning'!AB226+'Data cleaning'!Z226)</f>
        <v>568.29999999999995</v>
      </c>
      <c r="F226" s="64">
        <f>SUM('Data cleaning'!R226+'Data cleaning'!S226+'Data cleaning'!T226)</f>
        <v>434.5</v>
      </c>
      <c r="G226" s="76">
        <f>SUM('Data cleaning'!U226+'Data cleaning'!W226)</f>
        <v>292.8</v>
      </c>
      <c r="H226" s="64">
        <v>139.69999999999999</v>
      </c>
      <c r="I226" s="64">
        <v>124.6</v>
      </c>
      <c r="J226" s="64">
        <v>150.30000000000001</v>
      </c>
      <c r="K226" s="64">
        <v>137.69999999999999</v>
      </c>
      <c r="L226" s="64">
        <v>140.4</v>
      </c>
      <c r="M226" s="64">
        <f>SUM('Data cleaning'!U226+'Data cleaning'!V226+'Data cleaning'!Y226+'Data cleaning'!AC226)</f>
        <v>551</v>
      </c>
    </row>
    <row r="227" spans="1:13">
      <c r="A227" s="64" t="s">
        <v>30</v>
      </c>
      <c r="B227" s="64">
        <v>2019</v>
      </c>
      <c r="C227" s="64" t="s">
        <v>38</v>
      </c>
      <c r="D227" s="64">
        <f>SUM('Data cleaning'!D227+'Data cleaning'!E227+'Data cleaning'!F227+'Data cleaning'!G227+'Data cleaning'!H227+'Data cleaning'!I227+'Data cleaning'!J227+'Data cleaning'!K227+'Data cleaning'!L227+'Data cleaning'!O227+'Data cleaning'!P227+'Data cleaning'!M227)</f>
        <v>1644.4</v>
      </c>
      <c r="E227" s="64">
        <f>SUM('Data cleaning'!N227+'Data cleaning'!Q227+'Data cleaning'!AB227+'Data cleaning'!Z227)</f>
        <v>580.79999999999995</v>
      </c>
      <c r="F227" s="64">
        <f>SUM('Data cleaning'!R227+'Data cleaning'!S227+'Data cleaning'!T227)</f>
        <v>448.59999999999997</v>
      </c>
      <c r="G227" s="76">
        <f>SUM('Data cleaning'!U227+'Data cleaning'!W227)</f>
        <v>299.60000000000002</v>
      </c>
      <c r="H227" s="64">
        <v>146.9</v>
      </c>
      <c r="I227" s="64">
        <v>130.19999999999999</v>
      </c>
      <c r="J227" s="64">
        <v>156.69999999999999</v>
      </c>
      <c r="K227" s="64">
        <v>142.9</v>
      </c>
      <c r="L227" s="64">
        <v>142.4</v>
      </c>
      <c r="M227" s="64">
        <f>SUM('Data cleaning'!U227+'Data cleaning'!V227+'Data cleaning'!Y227+'Data cleaning'!AC227)</f>
        <v>570.1</v>
      </c>
    </row>
    <row r="228" spans="1:13">
      <c r="A228" s="64" t="s">
        <v>33</v>
      </c>
      <c r="B228" s="64">
        <v>2019</v>
      </c>
      <c r="C228" s="64" t="s">
        <v>38</v>
      </c>
      <c r="D228" s="64">
        <f>SUM('Data cleaning'!D228+'Data cleaning'!E228+'Data cleaning'!F228+'Data cleaning'!G228+'Data cleaning'!H228+'Data cleaning'!I228+'Data cleaning'!J228+'Data cleaning'!K228+'Data cleaning'!L228+'Data cleaning'!O228+'Data cleaning'!P228+'Data cleaning'!M228)</f>
        <v>1682.6000000000001</v>
      </c>
      <c r="E228" s="64">
        <f>SUM('Data cleaning'!N228+'Data cleaning'!Q228+'Data cleaning'!AB228+'Data cleaning'!Z228)</f>
        <v>561.70000000000005</v>
      </c>
      <c r="F228" s="64">
        <f>SUM('Data cleaning'!R228+'Data cleaning'!S228+'Data cleaning'!T228)</f>
        <v>417.9</v>
      </c>
      <c r="G228" s="76">
        <f>SUM('Data cleaning'!U228+'Data cleaning'!W228)</f>
        <v>287.29999999999995</v>
      </c>
      <c r="H228" s="64">
        <v>129.4</v>
      </c>
      <c r="I228" s="64">
        <v>120.1</v>
      </c>
      <c r="J228" s="64">
        <v>148</v>
      </c>
      <c r="K228" s="64">
        <v>133.30000000000001</v>
      </c>
      <c r="L228" s="64">
        <v>141.5</v>
      </c>
      <c r="M228" s="64">
        <f>SUM('Data cleaning'!U228+'Data cleaning'!V228+'Data cleaning'!Y228+'Data cleaning'!AC228)</f>
        <v>532.90000000000009</v>
      </c>
    </row>
    <row r="229" spans="1:13">
      <c r="A229" s="64" t="s">
        <v>34</v>
      </c>
      <c r="B229" s="64">
        <v>2019</v>
      </c>
      <c r="C229" s="64" t="s">
        <v>38</v>
      </c>
      <c r="D229" s="64">
        <f>SUM('Data cleaning'!D229+'Data cleaning'!E229+'Data cleaning'!F229+'Data cleaning'!G229+'Data cleaning'!H229+'Data cleaning'!I229+'Data cleaning'!J229+'Data cleaning'!K229+'Data cleaning'!L229+'Data cleaning'!O229+'Data cleaning'!P229+'Data cleaning'!M229)</f>
        <v>1657.9000000000003</v>
      </c>
      <c r="E229" s="64">
        <f>SUM('Data cleaning'!N229+'Data cleaning'!Q229+'Data cleaning'!AB229+'Data cleaning'!Z229)</f>
        <v>570.70000000000005</v>
      </c>
      <c r="F229" s="64">
        <f>SUM('Data cleaning'!R229+'Data cleaning'!S229+'Data cleaning'!T229)</f>
        <v>436.1</v>
      </c>
      <c r="G229" s="76">
        <f>SUM('Data cleaning'!U229+'Data cleaning'!W229)</f>
        <v>293.79999999999995</v>
      </c>
      <c r="H229" s="64">
        <v>140.30000000000001</v>
      </c>
      <c r="I229" s="64">
        <v>124.9</v>
      </c>
      <c r="J229" s="64">
        <v>151.6</v>
      </c>
      <c r="K229" s="64">
        <v>138.19999999999999</v>
      </c>
      <c r="L229" s="64">
        <v>142</v>
      </c>
      <c r="M229" s="64">
        <f>SUM('Data cleaning'!U229+'Data cleaning'!V229+'Data cleaning'!Y229+'Data cleaning'!AC229)</f>
        <v>553.5</v>
      </c>
    </row>
    <row r="230" spans="1:13">
      <c r="A230" s="64" t="s">
        <v>30</v>
      </c>
      <c r="B230" s="64">
        <v>2019</v>
      </c>
      <c r="C230" s="64" t="s">
        <v>39</v>
      </c>
      <c r="D230" s="64">
        <f>SUM('Data cleaning'!D230+'Data cleaning'!E230+'Data cleaning'!F230+'Data cleaning'!G230+'Data cleaning'!H230+'Data cleaning'!I230+'Data cleaning'!J230+'Data cleaning'!K230+'Data cleaning'!L230+'Data cleaning'!O230+'Data cleaning'!P230+'Data cleaning'!M230)</f>
        <v>1666.1999999999998</v>
      </c>
      <c r="E230" s="64">
        <f>SUM('Data cleaning'!N230+'Data cleaning'!Q230+'Data cleaning'!AB230+'Data cleaning'!Z230)</f>
        <v>583.4</v>
      </c>
      <c r="F230" s="64">
        <f>SUM('Data cleaning'!R230+'Data cleaning'!S230+'Data cleaning'!T230)</f>
        <v>448.59999999999997</v>
      </c>
      <c r="G230" s="76">
        <f>SUM('Data cleaning'!U230+'Data cleaning'!W230)</f>
        <v>299</v>
      </c>
      <c r="H230" s="64">
        <v>147.80000000000001</v>
      </c>
      <c r="I230" s="64">
        <v>130.19999999999999</v>
      </c>
      <c r="J230" s="64">
        <v>157.69999999999999</v>
      </c>
      <c r="K230" s="64">
        <v>143.30000000000001</v>
      </c>
      <c r="L230" s="64">
        <v>143.6</v>
      </c>
      <c r="M230" s="64">
        <f>SUM('Data cleaning'!U230+'Data cleaning'!V230+'Data cleaning'!Y230+'Data cleaning'!AC230)</f>
        <v>570.70000000000005</v>
      </c>
    </row>
    <row r="231" spans="1:13">
      <c r="A231" s="64" t="s">
        <v>33</v>
      </c>
      <c r="B231" s="64">
        <v>2019</v>
      </c>
      <c r="C231" s="64" t="s">
        <v>39</v>
      </c>
      <c r="D231" s="64">
        <f>SUM('Data cleaning'!D231+'Data cleaning'!E231+'Data cleaning'!F231+'Data cleaning'!G231+'Data cleaning'!H231+'Data cleaning'!I231+'Data cleaning'!J231+'Data cleaning'!K231+'Data cleaning'!L231+'Data cleaning'!O231+'Data cleaning'!P231+'Data cleaning'!M231)</f>
        <v>1704.2999999999997</v>
      </c>
      <c r="E231" s="64">
        <f>SUM('Data cleaning'!N231+'Data cleaning'!Q231+'Data cleaning'!AB231+'Data cleaning'!Z231)</f>
        <v>563.70000000000005</v>
      </c>
      <c r="F231" s="64">
        <f>SUM('Data cleaning'!R231+'Data cleaning'!S231+'Data cleaning'!T231)</f>
        <v>418.4</v>
      </c>
      <c r="G231" s="76">
        <f>SUM('Data cleaning'!U231+'Data cleaning'!W231)</f>
        <v>286.8</v>
      </c>
      <c r="H231" s="64">
        <v>130.5</v>
      </c>
      <c r="I231" s="64">
        <v>119.6</v>
      </c>
      <c r="J231" s="64">
        <v>148.9</v>
      </c>
      <c r="K231" s="64">
        <v>133.6</v>
      </c>
      <c r="L231" s="64">
        <v>142.1</v>
      </c>
      <c r="M231" s="64">
        <f>SUM('Data cleaning'!U231+'Data cleaning'!V231+'Data cleaning'!Y231+'Data cleaning'!AC231)</f>
        <v>533.1</v>
      </c>
    </row>
    <row r="232" spans="1:13">
      <c r="A232" s="64" t="s">
        <v>34</v>
      </c>
      <c r="B232" s="64">
        <v>2019</v>
      </c>
      <c r="C232" s="64" t="s">
        <v>39</v>
      </c>
      <c r="D232" s="64">
        <f>SUM('Data cleaning'!D232+'Data cleaning'!E232+'Data cleaning'!F232+'Data cleaning'!G232+'Data cleaning'!H232+'Data cleaning'!I232+'Data cleaning'!J232+'Data cleaning'!K232+'Data cleaning'!L232+'Data cleaning'!O232+'Data cleaning'!P232+'Data cleaning'!M232)</f>
        <v>1679.9</v>
      </c>
      <c r="E232" s="64">
        <f>SUM('Data cleaning'!N232+'Data cleaning'!Q232+'Data cleaning'!AB232+'Data cleaning'!Z232)</f>
        <v>573</v>
      </c>
      <c r="F232" s="64">
        <f>SUM('Data cleaning'!R232+'Data cleaning'!S232+'Data cleaning'!T232)</f>
        <v>436.4</v>
      </c>
      <c r="G232" s="76">
        <f>SUM('Data cleaning'!U232+'Data cleaning'!W232)</f>
        <v>293.20000000000005</v>
      </c>
      <c r="H232" s="64">
        <v>141.19999999999999</v>
      </c>
      <c r="I232" s="64">
        <v>124.6</v>
      </c>
      <c r="J232" s="64">
        <v>152.5</v>
      </c>
      <c r="K232" s="64">
        <v>138.6</v>
      </c>
      <c r="L232" s="64">
        <v>142.9</v>
      </c>
      <c r="M232" s="64">
        <f>SUM('Data cleaning'!U232+'Data cleaning'!V232+'Data cleaning'!Y232+'Data cleaning'!AC232)</f>
        <v>553.80000000000007</v>
      </c>
    </row>
    <row r="233" spans="1:13">
      <c r="A233" s="64" t="s">
        <v>30</v>
      </c>
      <c r="B233" s="64">
        <v>2019</v>
      </c>
      <c r="C233" s="64" t="s">
        <v>40</v>
      </c>
      <c r="D233" s="64">
        <f>SUM('Data cleaning'!D233+'Data cleaning'!E233+'Data cleaning'!F233+'Data cleaning'!G233+'Data cleaning'!H233+'Data cleaning'!I233+'Data cleaning'!J233+'Data cleaning'!K233+'Data cleaning'!L233+'Data cleaning'!O233+'Data cleaning'!P233+'Data cleaning'!M233)</f>
        <v>1688.3999999999999</v>
      </c>
      <c r="E233" s="64">
        <f>SUM('Data cleaning'!N233+'Data cleaning'!Q233+'Data cleaning'!AB233+'Data cleaning'!Z233)</f>
        <v>586.6</v>
      </c>
      <c r="F233" s="64">
        <f>SUM('Data cleaning'!R233+'Data cleaning'!S233+'Data cleaning'!T233)</f>
        <v>449.1</v>
      </c>
      <c r="G233" s="76">
        <f>SUM('Data cleaning'!U233+'Data cleaning'!W233)</f>
        <v>300.60000000000002</v>
      </c>
      <c r="H233" s="64">
        <v>146.80000000000001</v>
      </c>
      <c r="I233" s="64">
        <v>131.19999999999999</v>
      </c>
      <c r="J233" s="64">
        <v>159.1</v>
      </c>
      <c r="K233" s="64">
        <v>144.19999999999999</v>
      </c>
      <c r="L233" s="64">
        <v>144.9</v>
      </c>
      <c r="M233" s="64">
        <f>SUM('Data cleaning'!U233+'Data cleaning'!V233+'Data cleaning'!Y233+'Data cleaning'!AC233)</f>
        <v>572.79999999999995</v>
      </c>
    </row>
    <row r="234" spans="1:13">
      <c r="A234" s="64" t="s">
        <v>33</v>
      </c>
      <c r="B234" s="64">
        <v>2019</v>
      </c>
      <c r="C234" s="64" t="s">
        <v>40</v>
      </c>
      <c r="D234" s="64">
        <f>SUM('Data cleaning'!D234+'Data cleaning'!E234+'Data cleaning'!F234+'Data cleaning'!G234+'Data cleaning'!H234+'Data cleaning'!I234+'Data cleaning'!J234+'Data cleaning'!K234+'Data cleaning'!L234+'Data cleaning'!O234+'Data cleaning'!P234+'Data cleaning'!M234)</f>
        <v>1727.8999999999999</v>
      </c>
      <c r="E234" s="64">
        <f>SUM('Data cleaning'!N234+'Data cleaning'!Q234+'Data cleaning'!AB234+'Data cleaning'!Z234)</f>
        <v>566.79999999999995</v>
      </c>
      <c r="F234" s="64">
        <f>SUM('Data cleaning'!R234+'Data cleaning'!S234+'Data cleaning'!T234)</f>
        <v>419.3</v>
      </c>
      <c r="G234" s="76">
        <f>SUM('Data cleaning'!U234+'Data cleaning'!W234)</f>
        <v>288.29999999999995</v>
      </c>
      <c r="H234" s="64">
        <v>127</v>
      </c>
      <c r="I234" s="64">
        <v>120.6</v>
      </c>
      <c r="J234" s="64">
        <v>150.4</v>
      </c>
      <c r="K234" s="64">
        <v>134.5</v>
      </c>
      <c r="L234" s="64">
        <v>143.30000000000001</v>
      </c>
      <c r="M234" s="64">
        <f>SUM('Data cleaning'!U234+'Data cleaning'!V234+'Data cleaning'!Y234+'Data cleaning'!AC234)</f>
        <v>532.70000000000005</v>
      </c>
    </row>
    <row r="235" spans="1:13">
      <c r="A235" s="64" t="s">
        <v>34</v>
      </c>
      <c r="B235" s="64">
        <v>2019</v>
      </c>
      <c r="C235" s="64" t="s">
        <v>40</v>
      </c>
      <c r="D235" s="64">
        <f>SUM('Data cleaning'!D235+'Data cleaning'!E235+'Data cleaning'!F235+'Data cleaning'!G235+'Data cleaning'!H235+'Data cleaning'!I235+'Data cleaning'!J235+'Data cleaning'!K235+'Data cleaning'!L235+'Data cleaning'!O235+'Data cleaning'!P235+'Data cleaning'!M235)</f>
        <v>1702.8</v>
      </c>
      <c r="E235" s="64">
        <f>SUM('Data cleaning'!N235+'Data cleaning'!Q235+'Data cleaning'!AB235+'Data cleaning'!Z235)</f>
        <v>576.09999999999991</v>
      </c>
      <c r="F235" s="64">
        <f>SUM('Data cleaning'!R235+'Data cleaning'!S235+'Data cleaning'!T235)</f>
        <v>437</v>
      </c>
      <c r="G235" s="76">
        <f>SUM('Data cleaning'!U235+'Data cleaning'!W235)</f>
        <v>294.79999999999995</v>
      </c>
      <c r="H235" s="64">
        <v>139.30000000000001</v>
      </c>
      <c r="I235" s="64">
        <v>125.6</v>
      </c>
      <c r="J235" s="64">
        <v>154</v>
      </c>
      <c r="K235" s="64">
        <v>139.5</v>
      </c>
      <c r="L235" s="64">
        <v>144.19999999999999</v>
      </c>
      <c r="M235" s="64">
        <f>SUM('Data cleaning'!U235+'Data cleaning'!V235+'Data cleaning'!Y235+'Data cleaning'!AC235)</f>
        <v>555</v>
      </c>
    </row>
    <row r="236" spans="1:13">
      <c r="A236" s="64" t="s">
        <v>30</v>
      </c>
      <c r="B236" s="64">
        <v>2019</v>
      </c>
      <c r="C236" s="64" t="s">
        <v>41</v>
      </c>
      <c r="D236" s="64">
        <f>SUM('Data cleaning'!D236+'Data cleaning'!E236+'Data cleaning'!F236+'Data cleaning'!G236+'Data cleaning'!H236+'Data cleaning'!I236+'Data cleaning'!J236+'Data cleaning'!K236+'Data cleaning'!L236+'Data cleaning'!O236+'Data cleaning'!P236+'Data cleaning'!M236)</f>
        <v>1696.0000000000002</v>
      </c>
      <c r="E236" s="64">
        <f>SUM('Data cleaning'!N236+'Data cleaning'!Q236+'Data cleaning'!AB236+'Data cleaning'!Z236)</f>
        <v>590.40000000000009</v>
      </c>
      <c r="F236" s="64">
        <f>SUM('Data cleaning'!R236+'Data cleaning'!S236+'Data cleaning'!T236)</f>
        <v>449.5</v>
      </c>
      <c r="G236" s="76">
        <f>SUM('Data cleaning'!U236+'Data cleaning'!W236)</f>
        <v>301.79999999999995</v>
      </c>
      <c r="H236" s="64">
        <v>146.4</v>
      </c>
      <c r="I236" s="64">
        <v>131.4</v>
      </c>
      <c r="J236" s="64">
        <v>159.69999999999999</v>
      </c>
      <c r="K236" s="64">
        <v>144.9</v>
      </c>
      <c r="L236" s="64">
        <v>145.69999999999999</v>
      </c>
      <c r="M236" s="64">
        <f>SUM('Data cleaning'!U236+'Data cleaning'!V236+'Data cleaning'!Y236+'Data cleaning'!AC236)</f>
        <v>574.29999999999995</v>
      </c>
    </row>
    <row r="237" spans="1:13">
      <c r="A237" s="64" t="s">
        <v>33</v>
      </c>
      <c r="B237" s="64">
        <v>2019</v>
      </c>
      <c r="C237" s="64" t="s">
        <v>41</v>
      </c>
      <c r="D237" s="64">
        <f>SUM('Data cleaning'!D237+'Data cleaning'!E237+'Data cleaning'!F237+'Data cleaning'!G237+'Data cleaning'!H237+'Data cleaning'!I237+'Data cleaning'!J237+'Data cleaning'!K237+'Data cleaning'!L237+'Data cleaning'!O237+'Data cleaning'!P237+'Data cleaning'!M237)</f>
        <v>1739.3</v>
      </c>
      <c r="E237" s="64">
        <f>SUM('Data cleaning'!N237+'Data cleaning'!Q237+'Data cleaning'!AB237+'Data cleaning'!Z237)</f>
        <v>570.90000000000009</v>
      </c>
      <c r="F237" s="64">
        <f>SUM('Data cleaning'!R237+'Data cleaning'!S237+'Data cleaning'!T237)</f>
        <v>420.2</v>
      </c>
      <c r="G237" s="76">
        <f>SUM('Data cleaning'!U237+'Data cleaning'!W237)</f>
        <v>289.7</v>
      </c>
      <c r="H237" s="64">
        <v>125.5</v>
      </c>
      <c r="I237" s="64">
        <v>120.8</v>
      </c>
      <c r="J237" s="64">
        <v>151.5</v>
      </c>
      <c r="K237" s="64">
        <v>135.30000000000001</v>
      </c>
      <c r="L237" s="64">
        <v>144.19999999999999</v>
      </c>
      <c r="M237" s="64">
        <f>SUM('Data cleaning'!U237+'Data cleaning'!V237+'Data cleaning'!Y237+'Data cleaning'!AC237)</f>
        <v>533.20000000000005</v>
      </c>
    </row>
    <row r="238" spans="1:13">
      <c r="A238" s="64" t="s">
        <v>34</v>
      </c>
      <c r="B238" s="64">
        <v>2019</v>
      </c>
      <c r="C238" s="64" t="s">
        <v>41</v>
      </c>
      <c r="D238" s="64">
        <f>SUM('Data cleaning'!D238+'Data cleaning'!E238+'Data cleaning'!F238+'Data cleaning'!G238+'Data cleaning'!H238+'Data cleaning'!I238+'Data cleaning'!J238+'Data cleaning'!K238+'Data cleaning'!L238+'Data cleaning'!O238+'Data cleaning'!P238+'Data cleaning'!M238)</f>
        <v>1711.6</v>
      </c>
      <c r="E238" s="64">
        <f>SUM('Data cleaning'!N238+'Data cleaning'!Q238+'Data cleaning'!AB238+'Data cleaning'!Z238)</f>
        <v>580</v>
      </c>
      <c r="F238" s="64">
        <f>SUM('Data cleaning'!R238+'Data cleaning'!S238+'Data cleaning'!T238)</f>
        <v>437.6</v>
      </c>
      <c r="G238" s="76">
        <f>SUM('Data cleaning'!U238+'Data cleaning'!W238)</f>
        <v>296.10000000000002</v>
      </c>
      <c r="H238" s="64">
        <v>138.5</v>
      </c>
      <c r="I238" s="64">
        <v>125.8</v>
      </c>
      <c r="J238" s="64">
        <v>154.9</v>
      </c>
      <c r="K238" s="64">
        <v>140.19999999999999</v>
      </c>
      <c r="L238" s="64">
        <v>145</v>
      </c>
      <c r="M238" s="64">
        <f>SUM('Data cleaning'!U238+'Data cleaning'!V238+'Data cleaning'!Y238+'Data cleaning'!AC238)</f>
        <v>556.1</v>
      </c>
    </row>
    <row r="239" spans="1:13">
      <c r="A239" s="64" t="s">
        <v>30</v>
      </c>
      <c r="B239" s="64">
        <v>2019</v>
      </c>
      <c r="C239" s="64" t="s">
        <v>42</v>
      </c>
      <c r="D239" s="64">
        <f>SUM('Data cleaning'!D239+'Data cleaning'!E239+'Data cleaning'!F239+'Data cleaning'!G239+'Data cleaning'!H239+'Data cleaning'!I239+'Data cleaning'!J239+'Data cleaning'!K239+'Data cleaning'!L239+'Data cleaning'!O239+'Data cleaning'!P239+'Data cleaning'!M239)</f>
        <v>1710.2</v>
      </c>
      <c r="E239" s="64">
        <f>SUM('Data cleaning'!N239+'Data cleaning'!Q239+'Data cleaning'!AB239+'Data cleaning'!Z239)</f>
        <v>592.70000000000005</v>
      </c>
      <c r="F239" s="64">
        <f>SUM('Data cleaning'!R239+'Data cleaning'!S239+'Data cleaning'!T239)</f>
        <v>449.29999999999995</v>
      </c>
      <c r="G239" s="76">
        <f>SUM('Data cleaning'!U239+'Data cleaning'!W239)</f>
        <v>302.5</v>
      </c>
      <c r="H239" s="64">
        <v>146.9</v>
      </c>
      <c r="I239" s="64">
        <v>131.6</v>
      </c>
      <c r="J239" s="64">
        <v>160.19999999999999</v>
      </c>
      <c r="K239" s="64">
        <v>145.4</v>
      </c>
      <c r="L239" s="64">
        <v>146.69999999999999</v>
      </c>
      <c r="M239" s="64">
        <f>SUM('Data cleaning'!U239+'Data cleaning'!V239+'Data cleaning'!Y239+'Data cleaning'!AC239)</f>
        <v>576.1</v>
      </c>
    </row>
    <row r="240" spans="1:13">
      <c r="A240" s="64" t="s">
        <v>33</v>
      </c>
      <c r="B240" s="64">
        <v>2019</v>
      </c>
      <c r="C240" s="64" t="s">
        <v>42</v>
      </c>
      <c r="D240" s="64">
        <f>SUM('Data cleaning'!D240+'Data cleaning'!E240+'Data cleaning'!F240+'Data cleaning'!G240+'Data cleaning'!H240+'Data cleaning'!I240+'Data cleaning'!J240+'Data cleaning'!K240+'Data cleaning'!L240+'Data cleaning'!O240+'Data cleaning'!P240+'Data cleaning'!M240)</f>
        <v>1744.9</v>
      </c>
      <c r="E240" s="64">
        <f>SUM('Data cleaning'!N240+'Data cleaning'!Q240+'Data cleaning'!AB240+'Data cleaning'!Z240)</f>
        <v>573.5</v>
      </c>
      <c r="F240" s="64">
        <f>SUM('Data cleaning'!R240+'Data cleaning'!S240+'Data cleaning'!T240)</f>
        <v>420.8</v>
      </c>
      <c r="G240" s="76">
        <f>SUM('Data cleaning'!U240+'Data cleaning'!W240)</f>
        <v>290.5</v>
      </c>
      <c r="H240" s="64">
        <v>126.6</v>
      </c>
      <c r="I240" s="64">
        <v>121.2</v>
      </c>
      <c r="J240" s="64">
        <v>151.6</v>
      </c>
      <c r="K240" s="64">
        <v>135.69999999999999</v>
      </c>
      <c r="L240" s="64">
        <v>144.69999999999999</v>
      </c>
      <c r="M240" s="64">
        <f>SUM('Data cleaning'!U240+'Data cleaning'!V240+'Data cleaning'!Y240+'Data cleaning'!AC240)</f>
        <v>535.69999999999993</v>
      </c>
    </row>
    <row r="241" spans="1:13">
      <c r="A241" s="64" t="s">
        <v>34</v>
      </c>
      <c r="B241" s="64">
        <v>2019</v>
      </c>
      <c r="C241" s="64" t="s">
        <v>42</v>
      </c>
      <c r="D241" s="64">
        <f>SUM('Data cleaning'!D241+'Data cleaning'!E241+'Data cleaning'!F241+'Data cleaning'!G241+'Data cleaning'!H241+'Data cleaning'!I241+'Data cleaning'!J241+'Data cleaning'!K241+'Data cleaning'!L241+'Data cleaning'!O241+'Data cleaning'!P241+'Data cleaning'!M241)</f>
        <v>1722.6999999999998</v>
      </c>
      <c r="E241" s="64">
        <f>SUM('Data cleaning'!N241+'Data cleaning'!Q241+'Data cleaning'!AB241+'Data cleaning'!Z241)</f>
        <v>582.5</v>
      </c>
      <c r="F241" s="64">
        <f>SUM('Data cleaning'!R241+'Data cleaning'!S241+'Data cleaning'!T241)</f>
        <v>437.69999999999993</v>
      </c>
      <c r="G241" s="76">
        <f>SUM('Data cleaning'!U241+'Data cleaning'!W241)</f>
        <v>296.79999999999995</v>
      </c>
      <c r="H241" s="64">
        <v>139.19999999999999</v>
      </c>
      <c r="I241" s="64">
        <v>126.1</v>
      </c>
      <c r="J241" s="64">
        <v>155.19999999999999</v>
      </c>
      <c r="K241" s="64">
        <v>140.69999999999999</v>
      </c>
      <c r="L241" s="64">
        <v>145.80000000000001</v>
      </c>
      <c r="M241" s="64">
        <f>SUM('Data cleaning'!U241+'Data cleaning'!V241+'Data cleaning'!Y241+'Data cleaning'!AC241)</f>
        <v>558.20000000000005</v>
      </c>
    </row>
    <row r="242" spans="1:13">
      <c r="A242" s="64" t="s">
        <v>30</v>
      </c>
      <c r="B242" s="64">
        <v>2019</v>
      </c>
      <c r="C242" s="64" t="s">
        <v>43</v>
      </c>
      <c r="D242" s="64">
        <f>SUM('Data cleaning'!D242+'Data cleaning'!E242+'Data cleaning'!F242+'Data cleaning'!G242+'Data cleaning'!H242+'Data cleaning'!I242+'Data cleaning'!J242+'Data cleaning'!K242+'Data cleaning'!L242+'Data cleaning'!O242+'Data cleaning'!P242+'Data cleaning'!M242)</f>
        <v>1738.2999999999997</v>
      </c>
      <c r="E242" s="64">
        <f>SUM('Data cleaning'!N242+'Data cleaning'!Q242+'Data cleaning'!AB242+'Data cleaning'!Z242)</f>
        <v>593.9</v>
      </c>
      <c r="F242" s="64">
        <f>SUM('Data cleaning'!R242+'Data cleaning'!S242+'Data cleaning'!T242)</f>
        <v>449.4</v>
      </c>
      <c r="G242" s="76">
        <f>SUM('Data cleaning'!U242+'Data cleaning'!W242)</f>
        <v>303.60000000000002</v>
      </c>
      <c r="H242" s="64">
        <v>147.69999999999999</v>
      </c>
      <c r="I242" s="64">
        <v>131.69999999999999</v>
      </c>
      <c r="J242" s="64">
        <v>160.69999999999999</v>
      </c>
      <c r="K242" s="64">
        <v>145.69999999999999</v>
      </c>
      <c r="L242" s="64">
        <v>148.30000000000001</v>
      </c>
      <c r="M242" s="64">
        <f>SUM('Data cleaning'!U242+'Data cleaning'!V242+'Data cleaning'!Y242+'Data cleaning'!AC242)</f>
        <v>578.09999999999991</v>
      </c>
    </row>
    <row r="243" spans="1:13">
      <c r="A243" s="64" t="s">
        <v>33</v>
      </c>
      <c r="B243" s="64">
        <v>2019</v>
      </c>
      <c r="C243" s="64" t="s">
        <v>43</v>
      </c>
      <c r="D243" s="64">
        <f>SUM('Data cleaning'!D243+'Data cleaning'!E243+'Data cleaning'!F243+'Data cleaning'!G243+'Data cleaning'!H243+'Data cleaning'!I243+'Data cleaning'!J243+'Data cleaning'!K243+'Data cleaning'!L243+'Data cleaning'!O243+'Data cleaning'!P243+'Data cleaning'!M243)</f>
        <v>1772.4</v>
      </c>
      <c r="E243" s="64">
        <f>SUM('Data cleaning'!N243+'Data cleaning'!Q243+'Data cleaning'!AB243+'Data cleaning'!Z243)</f>
        <v>575.20000000000005</v>
      </c>
      <c r="F243" s="64">
        <f>SUM('Data cleaning'!R243+'Data cleaning'!S243+'Data cleaning'!T243)</f>
        <v>422.20000000000005</v>
      </c>
      <c r="G243" s="76">
        <f>SUM('Data cleaning'!U243+'Data cleaning'!W243)</f>
        <v>291.7</v>
      </c>
      <c r="H243" s="64">
        <v>128.9</v>
      </c>
      <c r="I243" s="64">
        <v>121.5</v>
      </c>
      <c r="J243" s="64">
        <v>151.69999999999999</v>
      </c>
      <c r="K243" s="64">
        <v>136</v>
      </c>
      <c r="L243" s="64">
        <v>146</v>
      </c>
      <c r="M243" s="64">
        <f>SUM('Data cleaning'!U243+'Data cleaning'!V243+'Data cleaning'!Y243+'Data cleaning'!AC243)</f>
        <v>539.4</v>
      </c>
    </row>
    <row r="244" spans="1:13">
      <c r="A244" s="64" t="s">
        <v>34</v>
      </c>
      <c r="B244" s="64">
        <v>2019</v>
      </c>
      <c r="C244" s="64" t="s">
        <v>43</v>
      </c>
      <c r="D244" s="64">
        <f>SUM('Data cleaning'!D244+'Data cleaning'!E244+'Data cleaning'!F244+'Data cleaning'!G244+'Data cleaning'!H244+'Data cleaning'!I244+'Data cleaning'!J244+'Data cleaning'!K244+'Data cleaning'!L244+'Data cleaning'!O244+'Data cleaning'!P244+'Data cleaning'!M244)</f>
        <v>1750.4999999999998</v>
      </c>
      <c r="E244" s="64">
        <f>SUM('Data cleaning'!N244+'Data cleaning'!Q244+'Data cleaning'!AB244+'Data cleaning'!Z244)</f>
        <v>583.9</v>
      </c>
      <c r="F244" s="64">
        <f>SUM('Data cleaning'!R244+'Data cleaning'!S244+'Data cleaning'!T244)</f>
        <v>438.40000000000003</v>
      </c>
      <c r="G244" s="76">
        <f>SUM('Data cleaning'!U244+'Data cleaning'!W244)</f>
        <v>298</v>
      </c>
      <c r="H244" s="64">
        <v>140.6</v>
      </c>
      <c r="I244" s="64">
        <v>126.3</v>
      </c>
      <c r="J244" s="64">
        <v>155.4</v>
      </c>
      <c r="K244" s="64">
        <v>141</v>
      </c>
      <c r="L244" s="64">
        <v>147.19999999999999</v>
      </c>
      <c r="M244" s="64">
        <f>SUM('Data cleaning'!U244+'Data cleaning'!V244+'Data cleaning'!Y244+'Data cleaning'!AC244)</f>
        <v>560.90000000000009</v>
      </c>
    </row>
    <row r="245" spans="1:13">
      <c r="A245" s="64" t="s">
        <v>30</v>
      </c>
      <c r="B245" s="64">
        <v>2019</v>
      </c>
      <c r="C245" s="64" t="s">
        <v>45</v>
      </c>
      <c r="D245" s="64">
        <f>SUM('Data cleaning'!D245+'Data cleaning'!E245+'Data cleaning'!F245+'Data cleaning'!G245+'Data cleaning'!H245+'Data cleaning'!I245+'Data cleaning'!J245+'Data cleaning'!K245+'Data cleaning'!L245+'Data cleaning'!O245+'Data cleaning'!P245+'Data cleaning'!M245)</f>
        <v>1765.9</v>
      </c>
      <c r="E245" s="64">
        <f>SUM('Data cleaning'!N245+'Data cleaning'!Q245+'Data cleaning'!AB245+'Data cleaning'!Z245)</f>
        <v>595.6</v>
      </c>
      <c r="F245" s="64">
        <f>SUM('Data cleaning'!R245+'Data cleaning'!S245+'Data cleaning'!T245)</f>
        <v>450.8</v>
      </c>
      <c r="G245" s="76">
        <f>SUM('Data cleaning'!U245+'Data cleaning'!W245)</f>
        <v>304.39999999999998</v>
      </c>
      <c r="H245" s="64">
        <v>148.4</v>
      </c>
      <c r="I245" s="64">
        <v>132.1</v>
      </c>
      <c r="J245" s="64">
        <v>160.80000000000001</v>
      </c>
      <c r="K245" s="64">
        <v>146.1</v>
      </c>
      <c r="L245" s="64">
        <v>149.9</v>
      </c>
      <c r="M245" s="64">
        <f>SUM('Data cleaning'!U245+'Data cleaning'!V245+'Data cleaning'!Y245+'Data cleaning'!AC245)</f>
        <v>580.1</v>
      </c>
    </row>
    <row r="246" spans="1:13">
      <c r="A246" s="64" t="s">
        <v>33</v>
      </c>
      <c r="B246" s="64">
        <v>2019</v>
      </c>
      <c r="C246" s="64" t="s">
        <v>45</v>
      </c>
      <c r="D246" s="64">
        <f>SUM('Data cleaning'!D246+'Data cleaning'!E246+'Data cleaning'!F246+'Data cleaning'!G246+'Data cleaning'!H246+'Data cleaning'!I246+'Data cleaning'!J246+'Data cleaning'!K246+'Data cleaning'!L246+'Data cleaning'!O246+'Data cleaning'!P246+'Data cleaning'!M246)</f>
        <v>1793.4999999999998</v>
      </c>
      <c r="E246" s="64">
        <f>SUM('Data cleaning'!N246+'Data cleaning'!Q246+'Data cleaning'!AB246+'Data cleaning'!Z246)</f>
        <v>576.9</v>
      </c>
      <c r="F246" s="64">
        <f>SUM('Data cleaning'!R246+'Data cleaning'!S246+'Data cleaning'!T246)</f>
        <v>423.09999999999997</v>
      </c>
      <c r="G246" s="76">
        <f>SUM('Data cleaning'!U246+'Data cleaning'!W246)</f>
        <v>292.60000000000002</v>
      </c>
      <c r="H246" s="64">
        <v>132.19999999999999</v>
      </c>
      <c r="I246" s="64">
        <v>121.7</v>
      </c>
      <c r="J246" s="64">
        <v>151.80000000000001</v>
      </c>
      <c r="K246" s="64">
        <v>136.30000000000001</v>
      </c>
      <c r="L246" s="64">
        <v>147</v>
      </c>
      <c r="M246" s="64">
        <f>SUM('Data cleaning'!U246+'Data cleaning'!V246+'Data cleaning'!Y246+'Data cleaning'!AC246)</f>
        <v>543.70000000000005</v>
      </c>
    </row>
    <row r="247" spans="1:13">
      <c r="A247" s="64" t="s">
        <v>34</v>
      </c>
      <c r="B247" s="64">
        <v>2019</v>
      </c>
      <c r="C247" s="64" t="s">
        <v>45</v>
      </c>
      <c r="D247" s="64">
        <f>SUM('Data cleaning'!D247+'Data cleaning'!E247+'Data cleaning'!F247+'Data cleaning'!G247+'Data cleaning'!H247+'Data cleaning'!I247+'Data cleaning'!J247+'Data cleaning'!K247+'Data cleaning'!L247+'Data cleaning'!O247+'Data cleaning'!P247+'Data cleaning'!M247)</f>
        <v>1775.6000000000001</v>
      </c>
      <c r="E247" s="64">
        <f>SUM('Data cleaning'!N247+'Data cleaning'!Q247+'Data cleaning'!AB247+'Data cleaning'!Z247)</f>
        <v>585.6</v>
      </c>
      <c r="F247" s="64">
        <f>SUM('Data cleaning'!R247+'Data cleaning'!S247+'Data cleaning'!T247)</f>
        <v>439.5</v>
      </c>
      <c r="G247" s="76">
        <f>SUM('Data cleaning'!U247+'Data cleaning'!W247)</f>
        <v>298.8</v>
      </c>
      <c r="H247" s="64">
        <v>142.30000000000001</v>
      </c>
      <c r="I247" s="64">
        <v>126.6</v>
      </c>
      <c r="J247" s="64">
        <v>155.5</v>
      </c>
      <c r="K247" s="64">
        <v>141.30000000000001</v>
      </c>
      <c r="L247" s="64">
        <v>148.6</v>
      </c>
      <c r="M247" s="64">
        <f>SUM('Data cleaning'!U247+'Data cleaning'!V247+'Data cleaning'!Y247+'Data cleaning'!AC247)</f>
        <v>563.70000000000005</v>
      </c>
    </row>
    <row r="248" spans="1:13">
      <c r="A248" s="64" t="s">
        <v>30</v>
      </c>
      <c r="B248" s="64">
        <v>2019</v>
      </c>
      <c r="C248" s="64" t="s">
        <v>46</v>
      </c>
      <c r="D248" s="64">
        <f>SUM('Data cleaning'!D248+'Data cleaning'!E248+'Data cleaning'!F248+'Data cleaning'!G248+'Data cleaning'!H248+'Data cleaning'!I248+'Data cleaning'!J248+'Data cleaning'!K248+'Data cleaning'!L248+'Data cleaning'!O248+'Data cleaning'!P248+'Data cleaning'!M248)</f>
        <v>1801.6999999999996</v>
      </c>
      <c r="E248" s="64">
        <f>SUM('Data cleaning'!N248+'Data cleaning'!Q248+'Data cleaning'!AB248+'Data cleaning'!Z248)</f>
        <v>597.20000000000005</v>
      </c>
      <c r="F248" s="64">
        <f>SUM('Data cleaning'!R248+'Data cleaning'!S248+'Data cleaning'!T248)</f>
        <v>451.79999999999995</v>
      </c>
      <c r="G248" s="76">
        <f>SUM('Data cleaning'!U248+'Data cleaning'!W248)</f>
        <v>304</v>
      </c>
      <c r="H248" s="64">
        <v>149.9</v>
      </c>
      <c r="I248" s="64">
        <v>135</v>
      </c>
      <c r="J248" s="64">
        <v>161.1</v>
      </c>
      <c r="K248" s="64">
        <v>147.1</v>
      </c>
      <c r="L248" s="64">
        <v>152.30000000000001</v>
      </c>
      <c r="M248" s="64">
        <f>SUM('Data cleaning'!U248+'Data cleaning'!V248+'Data cleaning'!Y248+'Data cleaning'!AC248)</f>
        <v>584.80000000000007</v>
      </c>
    </row>
    <row r="249" spans="1:13">
      <c r="A249" s="64" t="s">
        <v>33</v>
      </c>
      <c r="B249" s="64">
        <v>2019</v>
      </c>
      <c r="C249" s="64" t="s">
        <v>46</v>
      </c>
      <c r="D249" s="64">
        <f>SUM('Data cleaning'!D249+'Data cleaning'!E249+'Data cleaning'!F249+'Data cleaning'!G249+'Data cleaning'!H249+'Data cleaning'!I249+'Data cleaning'!J249+'Data cleaning'!K249+'Data cleaning'!L249+'Data cleaning'!O249+'Data cleaning'!P249+'Data cleaning'!M249)</f>
        <v>1825.9</v>
      </c>
      <c r="E249" s="64">
        <f>SUM('Data cleaning'!N249+'Data cleaning'!Q249+'Data cleaning'!AB249+'Data cleaning'!Z249)</f>
        <v>578.20000000000005</v>
      </c>
      <c r="F249" s="64">
        <f>SUM('Data cleaning'!R249+'Data cleaning'!S249+'Data cleaning'!T249)</f>
        <v>424.20000000000005</v>
      </c>
      <c r="G249" s="76">
        <f>SUM('Data cleaning'!U249+'Data cleaning'!W249)</f>
        <v>292.60000000000002</v>
      </c>
      <c r="H249" s="64">
        <v>133.6</v>
      </c>
      <c r="I249" s="64">
        <v>125.2</v>
      </c>
      <c r="J249" s="64">
        <v>151.9</v>
      </c>
      <c r="K249" s="64">
        <v>137.69999999999999</v>
      </c>
      <c r="L249" s="64">
        <v>148.30000000000001</v>
      </c>
      <c r="M249" s="64">
        <f>SUM('Data cleaning'!U249+'Data cleaning'!V249+'Data cleaning'!Y249+'Data cleaning'!AC249)</f>
        <v>549.29999999999995</v>
      </c>
    </row>
    <row r="250" spans="1:13">
      <c r="A250" s="64" t="s">
        <v>34</v>
      </c>
      <c r="B250" s="64">
        <v>2019</v>
      </c>
      <c r="C250" s="64" t="s">
        <v>46</v>
      </c>
      <c r="D250" s="64">
        <f>SUM('Data cleaning'!D250+'Data cleaning'!E250+'Data cleaning'!F250+'Data cleaning'!G250+'Data cleaning'!H250+'Data cleaning'!I250+'Data cleaning'!J250+'Data cleaning'!K250+'Data cleaning'!L250+'Data cleaning'!O250+'Data cleaning'!P250+'Data cleaning'!M250)</f>
        <v>1810.3000000000002</v>
      </c>
      <c r="E250" s="64">
        <f>SUM('Data cleaning'!N250+'Data cleaning'!Q250+'Data cleaning'!AB250+'Data cleaning'!Z250)</f>
        <v>587</v>
      </c>
      <c r="F250" s="64">
        <f>SUM('Data cleaning'!R250+'Data cleaning'!S250+'Data cleaning'!T250)</f>
        <v>440.6</v>
      </c>
      <c r="G250" s="76">
        <f>SUM('Data cleaning'!U250+'Data cleaning'!W250)</f>
        <v>298.60000000000002</v>
      </c>
      <c r="H250" s="64">
        <v>143.69999999999999</v>
      </c>
      <c r="I250" s="64">
        <v>129.80000000000001</v>
      </c>
      <c r="J250" s="64">
        <v>155.69999999999999</v>
      </c>
      <c r="K250" s="64">
        <v>142.5</v>
      </c>
      <c r="L250" s="64">
        <v>150.4</v>
      </c>
      <c r="M250" s="64">
        <f>SUM('Data cleaning'!U250+'Data cleaning'!V250+'Data cleaning'!Y250+'Data cleaning'!AC250)</f>
        <v>568.79999999999995</v>
      </c>
    </row>
    <row r="251" spans="1:13">
      <c r="A251" s="64" t="s">
        <v>30</v>
      </c>
      <c r="B251" s="64">
        <v>2020</v>
      </c>
      <c r="C251" s="64" t="s">
        <v>31</v>
      </c>
      <c r="D251" s="64">
        <f>SUM('Data cleaning'!D251+'Data cleaning'!E251+'Data cleaning'!F251+'Data cleaning'!G251+'Data cleaning'!H251+'Data cleaning'!I251+'Data cleaning'!J251+'Data cleaning'!K251+'Data cleaning'!L251+'Data cleaning'!O251+'Data cleaning'!P251+'Data cleaning'!M251)</f>
        <v>1798.8999999999999</v>
      </c>
      <c r="E251" s="64">
        <f>SUM('Data cleaning'!N251+'Data cleaning'!Q251+'Data cleaning'!AB251+'Data cleaning'!Z251)</f>
        <v>600.9</v>
      </c>
      <c r="F251" s="64">
        <f>SUM('Data cleaning'!R251+'Data cleaning'!S251+'Data cleaning'!T251)</f>
        <v>452.30000000000007</v>
      </c>
      <c r="G251" s="76">
        <f>SUM('Data cleaning'!U251+'Data cleaning'!W251)</f>
        <v>305.60000000000002</v>
      </c>
      <c r="H251" s="64">
        <v>150.4</v>
      </c>
      <c r="I251" s="64">
        <v>136.30000000000001</v>
      </c>
      <c r="J251" s="64">
        <v>161.69999999999999</v>
      </c>
      <c r="K251" s="64">
        <v>148.1</v>
      </c>
      <c r="L251" s="64">
        <v>151.9</v>
      </c>
      <c r="M251" s="64">
        <f>SUM('Data cleaning'!U251+'Data cleaning'!V251+'Data cleaning'!Y251+'Data cleaning'!AC251)</f>
        <v>588.70000000000005</v>
      </c>
    </row>
    <row r="252" spans="1:13">
      <c r="A252" s="64" t="s">
        <v>33</v>
      </c>
      <c r="B252" s="64">
        <v>2020</v>
      </c>
      <c r="C252" s="64" t="s">
        <v>31</v>
      </c>
      <c r="D252" s="64">
        <f>SUM('Data cleaning'!D252+'Data cleaning'!E252+'Data cleaning'!F252+'Data cleaning'!G252+'Data cleaning'!H252+'Data cleaning'!I252+'Data cleaning'!J252+'Data cleaning'!K252+'Data cleaning'!L252+'Data cleaning'!O252+'Data cleaning'!P252+'Data cleaning'!M252)</f>
        <v>1814.3</v>
      </c>
      <c r="E252" s="64">
        <f>SUM('Data cleaning'!N252+'Data cleaning'!Q252+'Data cleaning'!AB252+'Data cleaning'!Z252)</f>
        <v>581.20000000000005</v>
      </c>
      <c r="F252" s="64">
        <f>SUM('Data cleaning'!R252+'Data cleaning'!S252+'Data cleaning'!T252)</f>
        <v>425.1</v>
      </c>
      <c r="G252" s="76">
        <f>SUM('Data cleaning'!U252+'Data cleaning'!W252)</f>
        <v>294</v>
      </c>
      <c r="H252" s="64">
        <v>135.1</v>
      </c>
      <c r="I252" s="64">
        <v>126.1</v>
      </c>
      <c r="J252" s="64">
        <v>152.1</v>
      </c>
      <c r="K252" s="64">
        <v>138.4</v>
      </c>
      <c r="L252" s="64">
        <v>148.19999999999999</v>
      </c>
      <c r="M252" s="64">
        <f>SUM('Data cleaning'!U252+'Data cleaning'!V252+'Data cleaning'!Y252+'Data cleaning'!AC252)</f>
        <v>553.5</v>
      </c>
    </row>
    <row r="253" spans="1:13">
      <c r="A253" s="64" t="s">
        <v>34</v>
      </c>
      <c r="B253" s="64">
        <v>2020</v>
      </c>
      <c r="C253" s="64" t="s">
        <v>31</v>
      </c>
      <c r="D253" s="64">
        <f>SUM('Data cleaning'!D253+'Data cleaning'!E253+'Data cleaning'!F253+'Data cleaning'!G253+'Data cleaning'!H253+'Data cleaning'!I253+'Data cleaning'!J253+'Data cleaning'!K253+'Data cleaning'!L253+'Data cleaning'!O253+'Data cleaning'!P253+'Data cleaning'!M253)</f>
        <v>1804.3</v>
      </c>
      <c r="E253" s="64">
        <f>SUM('Data cleaning'!N253+'Data cleaning'!Q253+'Data cleaning'!AB253+'Data cleaning'!Z253)</f>
        <v>590.4</v>
      </c>
      <c r="F253" s="64">
        <f>SUM('Data cleaning'!R253+'Data cleaning'!S253+'Data cleaning'!T253)</f>
        <v>441.2</v>
      </c>
      <c r="G253" s="76">
        <f>SUM('Data cleaning'!U253+'Data cleaning'!W253)</f>
        <v>300.10000000000002</v>
      </c>
      <c r="H253" s="64">
        <v>144.6</v>
      </c>
      <c r="I253" s="64">
        <v>130.9</v>
      </c>
      <c r="J253" s="64">
        <v>156.1</v>
      </c>
      <c r="K253" s="64">
        <v>143.4</v>
      </c>
      <c r="L253" s="64">
        <v>150.19999999999999</v>
      </c>
      <c r="M253" s="64">
        <f>SUM('Data cleaning'!U253+'Data cleaning'!V253+'Data cleaning'!Y253+'Data cleaning'!AC253)</f>
        <v>572.79999999999995</v>
      </c>
    </row>
    <row r="254" spans="1:13">
      <c r="A254" s="64" t="s">
        <v>30</v>
      </c>
      <c r="B254" s="64">
        <v>2020</v>
      </c>
      <c r="C254" s="64" t="s">
        <v>35</v>
      </c>
      <c r="D254" s="64">
        <f>SUM('Data cleaning'!D254+'Data cleaning'!E254+'Data cleaning'!F254+'Data cleaning'!G254+'Data cleaning'!H254+'Data cleaning'!I254+'Data cleaning'!J254+'Data cleaning'!K254+'Data cleaning'!L254+'Data cleaning'!O254+'Data cleaning'!P254+'Data cleaning'!M254)</f>
        <v>1769.6999999999998</v>
      </c>
      <c r="E254" s="64">
        <f>SUM('Data cleaning'!N254+'Data cleaning'!Q254+'Data cleaning'!AB254+'Data cleaning'!Z254)</f>
        <v>603.29999999999995</v>
      </c>
      <c r="F254" s="64">
        <f>SUM('Data cleaning'!R254+'Data cleaning'!S254+'Data cleaning'!T254)</f>
        <v>452.8</v>
      </c>
      <c r="G254" s="76">
        <f>SUM('Data cleaning'!U254+'Data cleaning'!W254)</f>
        <v>306.60000000000002</v>
      </c>
      <c r="H254" s="64">
        <v>152.30000000000001</v>
      </c>
      <c r="I254" s="64">
        <v>136</v>
      </c>
      <c r="J254" s="64">
        <v>161.9</v>
      </c>
      <c r="K254" s="64">
        <v>148.4</v>
      </c>
      <c r="L254" s="64">
        <v>150.4</v>
      </c>
      <c r="M254" s="64">
        <f>SUM('Data cleaning'!U254+'Data cleaning'!V254+'Data cleaning'!Y254+'Data cleaning'!AC254)</f>
        <v>591.5</v>
      </c>
    </row>
    <row r="255" spans="1:13">
      <c r="A255" s="64" t="s">
        <v>33</v>
      </c>
      <c r="B255" s="64">
        <v>2020</v>
      </c>
      <c r="C255" s="64" t="s">
        <v>35</v>
      </c>
      <c r="D255" s="64">
        <f>SUM('Data cleaning'!D255+'Data cleaning'!E255+'Data cleaning'!F255+'Data cleaning'!G255+'Data cleaning'!H255+'Data cleaning'!I255+'Data cleaning'!J255+'Data cleaning'!K255+'Data cleaning'!L255+'Data cleaning'!O255+'Data cleaning'!P255+'Data cleaning'!M255)</f>
        <v>1785.1</v>
      </c>
      <c r="E255" s="64">
        <f>SUM('Data cleaning'!N255+'Data cleaning'!Q255+'Data cleaning'!AB255+'Data cleaning'!Z255)</f>
        <v>584.70000000000005</v>
      </c>
      <c r="F255" s="64">
        <f>SUM('Data cleaning'!R255+'Data cleaning'!S255+'Data cleaning'!T255)</f>
        <v>426</v>
      </c>
      <c r="G255" s="76">
        <f>SUM('Data cleaning'!U255+'Data cleaning'!W255)</f>
        <v>295.20000000000005</v>
      </c>
      <c r="H255" s="64">
        <v>138.9</v>
      </c>
      <c r="I255" s="64">
        <v>125.2</v>
      </c>
      <c r="J255" s="64">
        <v>152.19999999999999</v>
      </c>
      <c r="K255" s="64">
        <v>138.4</v>
      </c>
      <c r="L255" s="64">
        <v>147.69999999999999</v>
      </c>
      <c r="M255" s="64">
        <f>SUM('Data cleaning'!U255+'Data cleaning'!V255+'Data cleaning'!Y255+'Data cleaning'!AC255)</f>
        <v>557.30000000000007</v>
      </c>
    </row>
    <row r="256" spans="1:13">
      <c r="A256" s="64" t="s">
        <v>34</v>
      </c>
      <c r="B256" s="64">
        <v>2020</v>
      </c>
      <c r="C256" s="64" t="s">
        <v>35</v>
      </c>
      <c r="D256" s="64">
        <f>SUM('Data cleaning'!D256+'Data cleaning'!E256+'Data cleaning'!F256+'Data cleaning'!G256+'Data cleaning'!H256+'Data cleaning'!I256+'Data cleaning'!J256+'Data cleaning'!K256+'Data cleaning'!L256+'Data cleaning'!O256+'Data cleaning'!P256+'Data cleaning'!M256)</f>
        <v>1775.1</v>
      </c>
      <c r="E256" s="64">
        <f>SUM('Data cleaning'!N256+'Data cleaning'!Q256+'Data cleaning'!AB256+'Data cleaning'!Z256)</f>
        <v>593.20000000000005</v>
      </c>
      <c r="F256" s="64">
        <f>SUM('Data cleaning'!R256+'Data cleaning'!S256+'Data cleaning'!T256)</f>
        <v>442</v>
      </c>
      <c r="G256" s="76">
        <f>SUM('Data cleaning'!U256+'Data cleaning'!W256)</f>
        <v>301.20000000000005</v>
      </c>
      <c r="H256" s="64">
        <v>147.19999999999999</v>
      </c>
      <c r="I256" s="64">
        <v>130.30000000000001</v>
      </c>
      <c r="J256" s="64">
        <v>156.19999999999999</v>
      </c>
      <c r="K256" s="64">
        <v>143.6</v>
      </c>
      <c r="L256" s="64">
        <v>149.1</v>
      </c>
      <c r="M256" s="64">
        <f>SUM('Data cleaning'!U256+'Data cleaning'!V256+'Data cleaning'!Y256+'Data cleaning'!AC256)</f>
        <v>575.9</v>
      </c>
    </row>
    <row r="257" spans="1:13">
      <c r="A257" s="64" t="s">
        <v>30</v>
      </c>
      <c r="B257" s="64">
        <v>2020</v>
      </c>
      <c r="C257" s="64" t="s">
        <v>36</v>
      </c>
      <c r="D257" s="64">
        <f>SUM('Data cleaning'!D257+'Data cleaning'!E257+'Data cleaning'!F257+'Data cleaning'!G257+'Data cleaning'!H257+'Data cleaning'!I257+'Data cleaning'!J257+'Data cleaning'!K257+'Data cleaning'!L257+'Data cleaning'!O257+'Data cleaning'!P257+'Data cleaning'!M257)</f>
        <v>1754.4999999999998</v>
      </c>
      <c r="E257" s="64">
        <f>SUM('Data cleaning'!N257+'Data cleaning'!Q257+'Data cleaning'!AB257+'Data cleaning'!Z257)</f>
        <v>606.90000000000009</v>
      </c>
      <c r="F257" s="64">
        <f>SUM('Data cleaning'!R257+'Data cleaning'!S257+'Data cleaning'!T257)</f>
        <v>453.5</v>
      </c>
      <c r="G257" s="76">
        <f>SUM('Data cleaning'!U257+'Data cleaning'!W257)</f>
        <v>306</v>
      </c>
      <c r="H257" s="64">
        <v>153.4</v>
      </c>
      <c r="I257" s="64">
        <v>135.80000000000001</v>
      </c>
      <c r="J257" s="64">
        <v>161.19999999999999</v>
      </c>
      <c r="K257" s="64">
        <v>148.6</v>
      </c>
      <c r="L257" s="64">
        <v>149.80000000000001</v>
      </c>
      <c r="M257" s="64">
        <f>SUM('Data cleaning'!U257+'Data cleaning'!V257+'Data cleaning'!Y257+'Data cleaning'!AC257)</f>
        <v>592.29999999999995</v>
      </c>
    </row>
    <row r="258" spans="1:13">
      <c r="A258" s="64" t="s">
        <v>33</v>
      </c>
      <c r="B258" s="64">
        <v>2020</v>
      </c>
      <c r="C258" s="64" t="s">
        <v>36</v>
      </c>
      <c r="D258" s="64">
        <f>SUM('Data cleaning'!D258+'Data cleaning'!E258+'Data cleaning'!F258+'Data cleaning'!G258+'Data cleaning'!H258+'Data cleaning'!I258+'Data cleaning'!J258+'Data cleaning'!K258+'Data cleaning'!L258+'Data cleaning'!O258+'Data cleaning'!P258+'Data cleaning'!M258)</f>
        <v>1766.6</v>
      </c>
      <c r="E258" s="64">
        <f>SUM('Data cleaning'!N258+'Data cleaning'!Q258+'Data cleaning'!AB258+'Data cleaning'!Z258)</f>
        <v>588.40000000000009</v>
      </c>
      <c r="F258" s="64">
        <f>SUM('Data cleaning'!R258+'Data cleaning'!S258+'Data cleaning'!T258)</f>
        <v>427.1</v>
      </c>
      <c r="G258" s="76">
        <f>SUM('Data cleaning'!U258+'Data cleaning'!W258)</f>
        <v>295.3</v>
      </c>
      <c r="H258" s="64">
        <v>141.4</v>
      </c>
      <c r="I258" s="64">
        <v>124.6</v>
      </c>
      <c r="J258" s="64">
        <v>152.5</v>
      </c>
      <c r="K258" s="64">
        <v>138.69999999999999</v>
      </c>
      <c r="L258" s="64">
        <v>147.30000000000001</v>
      </c>
      <c r="M258" s="64">
        <f>SUM('Data cleaning'!U258+'Data cleaning'!V258+'Data cleaning'!Y258+'Data cleaning'!AC258)</f>
        <v>559.20000000000005</v>
      </c>
    </row>
    <row r="259" spans="1:13">
      <c r="A259" s="64" t="s">
        <v>34</v>
      </c>
      <c r="B259" s="64">
        <v>2020</v>
      </c>
      <c r="C259" s="64" t="s">
        <v>36</v>
      </c>
      <c r="D259" s="64">
        <f>SUM('Data cleaning'!D259+'Data cleaning'!E259+'Data cleaning'!F259+'Data cleaning'!G259+'Data cleaning'!H259+'Data cleaning'!I259+'Data cleaning'!J259+'Data cleaning'!K259+'Data cleaning'!L259+'Data cleaning'!O259+'Data cleaning'!P259+'Data cleaning'!M259)</f>
        <v>1758.7</v>
      </c>
      <c r="E259" s="64">
        <f>SUM('Data cleaning'!N259+'Data cleaning'!Q259+'Data cleaning'!AB259+'Data cleaning'!Z259)</f>
        <v>596.79999999999995</v>
      </c>
      <c r="F259" s="64">
        <f>SUM('Data cleaning'!R259+'Data cleaning'!S259+'Data cleaning'!T259)</f>
        <v>442.90000000000003</v>
      </c>
      <c r="G259" s="76">
        <f>SUM('Data cleaning'!U259+'Data cleaning'!W259)</f>
        <v>300.89999999999998</v>
      </c>
      <c r="H259" s="64">
        <v>148.9</v>
      </c>
      <c r="I259" s="64">
        <v>129.9</v>
      </c>
      <c r="J259" s="64">
        <v>156.1</v>
      </c>
      <c r="K259" s="64">
        <v>143.80000000000001</v>
      </c>
      <c r="L259" s="64">
        <v>148.6</v>
      </c>
      <c r="M259" s="64">
        <f>SUM('Data cleaning'!U259+'Data cleaning'!V259+'Data cleaning'!Y259+'Data cleaning'!AC259)</f>
        <v>577.09999999999991</v>
      </c>
    </row>
    <row r="260" spans="1:13">
      <c r="A260" s="64" t="s">
        <v>30</v>
      </c>
      <c r="B260" s="64">
        <v>2020</v>
      </c>
      <c r="C260" s="64" t="s">
        <v>37</v>
      </c>
      <c r="D260" s="64">
        <f>SUM('Data cleaning'!D260+'Data cleaning'!E260+'Data cleaning'!F260+'Data cleaning'!G260+'Data cleaning'!H260+'Data cleaning'!I260+'Data cleaning'!J260+'Data cleaning'!K260+'Data cleaning'!L260+'Data cleaning'!O260+'Data cleaning'!P260+'Data cleaning'!M260)</f>
        <v>1802.1</v>
      </c>
      <c r="E260" s="64">
        <f>SUM('Data cleaning'!N260+'Data cleaning'!Q260+'Data cleaning'!AB260+'Data cleaning'!Z260)</f>
        <v>602.93333333333339</v>
      </c>
      <c r="F260" s="64">
        <f>SUM('Data cleaning'!R260+'Data cleaning'!S260+'Data cleaning'!T260)</f>
        <v>452.86666666666667</v>
      </c>
      <c r="G260" s="76">
        <f>SUM('Data cleaning'!U260+'Data cleaning'!W260)</f>
        <v>307.26666666666665</v>
      </c>
      <c r="H260" s="64">
        <v>148.4</v>
      </c>
      <c r="I260" s="64">
        <f>AVERAGE(I261:I269)</f>
        <v>140.0425925925926</v>
      </c>
      <c r="J260" s="64">
        <f t="shared" ref="J260:L262" si="0">AVERAGE(J261:J265)</f>
        <v>161.10160000000002</v>
      </c>
      <c r="K260" s="64">
        <f t="shared" si="0"/>
        <v>153.44680000000002</v>
      </c>
      <c r="L260" s="64">
        <f t="shared" si="0"/>
        <v>157.94320000000002</v>
      </c>
      <c r="M260" s="64">
        <f>SUM('Data cleaning'!U260+'Data cleaning'!V260+'Data cleaning'!Y260+'Data cleaning'!AC260)</f>
        <v>588.4</v>
      </c>
    </row>
    <row r="261" spans="1:13">
      <c r="A261" s="64" t="s">
        <v>33</v>
      </c>
      <c r="B261" s="64">
        <v>2020</v>
      </c>
      <c r="C261" s="64" t="s">
        <v>37</v>
      </c>
      <c r="D261" s="64">
        <f>SUM('Data cleaning'!D261+'Data cleaning'!E261+'Data cleaning'!F261+'Data cleaning'!G261+'Data cleaning'!H261+'Data cleaning'!I261+'Data cleaning'!J261+'Data cleaning'!K261+'Data cleaning'!L261+'Data cleaning'!O261+'Data cleaning'!P261+'Data cleaning'!M261)</f>
        <v>1829.6333333333332</v>
      </c>
      <c r="E261" s="64">
        <f>SUM('Data cleaning'!N261+'Data cleaning'!Q261+'Data cleaning'!AB261+'Data cleaning'!Z261)</f>
        <v>566.80000000000007</v>
      </c>
      <c r="F261" s="64">
        <f>SUM('Data cleaning'!R261+'Data cleaning'!S261+'Data cleaning'!T261)</f>
        <v>426.06666666666672</v>
      </c>
      <c r="G261" s="76">
        <f>SUM('Data cleaning'!U261+'Data cleaning'!W261)</f>
        <v>296.0333333333333</v>
      </c>
      <c r="H261" s="64">
        <v>137.1</v>
      </c>
      <c r="I261" s="64">
        <f>AVERAGE(I262:I268)</f>
        <v>139.87291666666667</v>
      </c>
      <c r="J261" s="64">
        <f t="shared" si="0"/>
        <v>161.21799999999999</v>
      </c>
      <c r="K261" s="64">
        <f t="shared" si="0"/>
        <v>153.15566666666669</v>
      </c>
      <c r="L261" s="64">
        <f t="shared" si="0"/>
        <v>157.06933333333336</v>
      </c>
      <c r="M261" s="64">
        <f>SUM('Data cleaning'!U261+'Data cleaning'!V261+'Data cleaning'!Y261+'Data cleaning'!AC261)</f>
        <v>556.5</v>
      </c>
    </row>
    <row r="262" spans="1:13">
      <c r="A262" s="64" t="s">
        <v>34</v>
      </c>
      <c r="B262" s="64">
        <v>2020</v>
      </c>
      <c r="C262" s="64" t="s">
        <v>37</v>
      </c>
      <c r="D262" s="64">
        <f>SUM('Data cleaning'!D262+'Data cleaning'!E262+'Data cleaning'!F262+'Data cleaning'!G262+'Data cleaning'!H262+'Data cleaning'!I262+'Data cleaning'!J262+'Data cleaning'!K262+'Data cleaning'!L262+'Data cleaning'!O262+'Data cleaning'!P262+'Data cleaning'!M262)</f>
        <v>1812.3</v>
      </c>
      <c r="E262" s="64">
        <f>SUM('Data cleaning'!N262+'Data cleaning'!Q262+'Data cleaning'!AB262+'Data cleaning'!Z262)</f>
        <v>593.83333333333337</v>
      </c>
      <c r="F262" s="64">
        <f>SUM('Data cleaning'!R262+'Data cleaning'!S262+'Data cleaning'!T262)</f>
        <v>442.03333333333336</v>
      </c>
      <c r="G262" s="76">
        <f>SUM('Data cleaning'!U262+'Data cleaning'!W262)</f>
        <v>301.93333333333334</v>
      </c>
      <c r="H262" s="64">
        <v>144.1</v>
      </c>
      <c r="I262" s="64">
        <f>AVERAGE(I263:I268)</f>
        <v>139.87291666666667</v>
      </c>
      <c r="J262" s="64">
        <f t="shared" si="0"/>
        <v>159.76500000000001</v>
      </c>
      <c r="K262" s="64">
        <f t="shared" si="0"/>
        <v>151.29638888888888</v>
      </c>
      <c r="L262" s="64">
        <f t="shared" si="0"/>
        <v>156.02444444444444</v>
      </c>
      <c r="M262" s="64">
        <f>SUM('Data cleaning'!U262+'Data cleaning'!V262+'Data cleaning'!Y262+'Data cleaning'!AC262)</f>
        <v>573.66666666666663</v>
      </c>
    </row>
    <row r="263" spans="1:13">
      <c r="A263" s="64" t="s">
        <v>30</v>
      </c>
      <c r="B263" s="64">
        <v>2020</v>
      </c>
      <c r="C263" s="64" t="s">
        <v>38</v>
      </c>
      <c r="D263" s="64">
        <f>SUM('Data cleaning'!D263+'Data cleaning'!E263+'Data cleaning'!F263+'Data cleaning'!G263+'Data cleaning'!H263+'Data cleaning'!I263+'Data cleaning'!J263+'Data cleaning'!K263+'Data cleaning'!L263+'Data cleaning'!O263+'Data cleaning'!P263+'Data cleaning'!M263)</f>
        <v>1780.375</v>
      </c>
      <c r="E263" s="64">
        <f>SUM('Data cleaning'!N263+'Data cleaning'!Q263+'Data cleaning'!AB263+'Data cleaning'!Z263)</f>
        <v>603.50833333333321</v>
      </c>
      <c r="F263" s="64">
        <f>SUM('Data cleaning'!R263+'Data cleaning'!S263+'Data cleaning'!T263)</f>
        <v>452.86666666666667</v>
      </c>
      <c r="G263" s="76">
        <f>SUM('Data cleaning'!U263+'Data cleaning'!W263)</f>
        <v>306.36666666666667</v>
      </c>
      <c r="H263" s="64">
        <f>AVERAGE(H264:H268)</f>
        <v>146.93666666666667</v>
      </c>
      <c r="I263" s="64">
        <f t="shared" ref="I263:L263" si="1">AVERAGE(I264:I268)</f>
        <v>139.87291666666664</v>
      </c>
      <c r="J263" s="64">
        <f t="shared" si="1"/>
        <v>159.20416666666668</v>
      </c>
      <c r="K263" s="64">
        <f t="shared" si="1"/>
        <v>150.5803240740741</v>
      </c>
      <c r="L263" s="64">
        <f t="shared" si="1"/>
        <v>155.3203703703704</v>
      </c>
      <c r="M263" s="64">
        <f>SUM('Data cleaning'!U263+'Data cleaning'!V263+'Data cleaning'!Y263+'Data cleaning'!AC263)</f>
        <v>590.22500000000002</v>
      </c>
    </row>
    <row r="264" spans="1:13">
      <c r="A264" s="64" t="s">
        <v>33</v>
      </c>
      <c r="B264" s="64">
        <v>2020</v>
      </c>
      <c r="C264" s="64" t="s">
        <v>38</v>
      </c>
      <c r="D264" s="64">
        <f>SUM('Data cleaning'!D264+'Data cleaning'!E264+'Data cleaning'!F264+'Data cleaning'!G264+'Data cleaning'!H264+'Data cleaning'!I264+'Data cleaning'!J264+'Data cleaning'!K264+'Data cleaning'!L264+'Data cleaning'!O264+'Data cleaning'!P264+'Data cleaning'!M264)</f>
        <v>1798.9083333333331</v>
      </c>
      <c r="E264" s="64">
        <f>SUM('Data cleaning'!N264+'Data cleaning'!Q264+'Data cleaning'!AB264+'Data cleaning'!Z264)</f>
        <v>580.27500000000009</v>
      </c>
      <c r="F264" s="64">
        <f>SUM('Data cleaning'!R264+'Data cleaning'!S264+'Data cleaning'!T264)</f>
        <v>426.06666666666672</v>
      </c>
      <c r="G264" s="76">
        <f>SUM('Data cleaning'!U264+'Data cleaning'!W264)</f>
        <v>295.13333333333333</v>
      </c>
      <c r="H264" s="64">
        <f>AVERAGE(H265:H269)</f>
        <v>146.59722222222223</v>
      </c>
      <c r="I264" s="64">
        <f>AVERAGE(I265:I268)</f>
        <v>139.87291666666667</v>
      </c>
      <c r="J264" s="64">
        <f>AVERAGE(J265:J268)</f>
        <v>159.20416666666665</v>
      </c>
      <c r="K264" s="64">
        <f>AVERAGE(K265:K268)</f>
        <v>150.58032407407407</v>
      </c>
      <c r="L264" s="64">
        <f>AVERAGE(L265:L268)</f>
        <v>155.32037037037037</v>
      </c>
      <c r="M264" s="64">
        <f>SUM('Data cleaning'!U264+'Data cleaning'!V264+'Data cleaning'!Y264+'Data cleaning'!AC264)</f>
        <v>556.625</v>
      </c>
    </row>
    <row r="265" spans="1:13">
      <c r="A265" s="64" t="s">
        <v>34</v>
      </c>
      <c r="B265" s="64">
        <v>2020</v>
      </c>
      <c r="C265" s="64" t="s">
        <v>38</v>
      </c>
      <c r="D265" s="64">
        <f>SUM('Data cleaning'!D265+'Data cleaning'!E265+'Data cleaning'!F265+'Data cleaning'!G265+'Data cleaning'!H265+'Data cleaning'!I265+'Data cleaning'!J265+'Data cleaning'!K265+'Data cleaning'!L265+'Data cleaning'!O265+'Data cleaning'!P265+'Data cleaning'!M265)</f>
        <v>1787.6</v>
      </c>
      <c r="E265" s="64">
        <f>SUM('Data cleaning'!N265+'Data cleaning'!Q265+'Data cleaning'!AB265+'Data cleaning'!Z265)</f>
        <v>593.55833333333339</v>
      </c>
      <c r="F265" s="64">
        <f>SUM('Data cleaning'!R265+'Data cleaning'!S265+'Data cleaning'!T265)</f>
        <v>442.03333333333336</v>
      </c>
      <c r="G265" s="76">
        <f>SUM('Data cleaning'!U265+'Data cleaning'!W265)</f>
        <v>301.03333333333336</v>
      </c>
      <c r="H265" s="64">
        <f>AVERAGE(H266:H373)</f>
        <v>164.18611111111116</v>
      </c>
      <c r="I265" s="64">
        <f>AVERAGE(I266:I373)</f>
        <v>153.79166666666666</v>
      </c>
      <c r="J265" s="64">
        <f t="shared" ref="J265:L265" si="2">AVERAGE(J266:J373)</f>
        <v>166.11666666666665</v>
      </c>
      <c r="K265" s="64">
        <f t="shared" si="2"/>
        <v>161.62129629629632</v>
      </c>
      <c r="L265" s="64">
        <f t="shared" si="2"/>
        <v>165.98148148148152</v>
      </c>
      <c r="M265" s="64">
        <f>SUM('Data cleaning'!U265+'Data cleaning'!V265+'Data cleaning'!Y265+'Data cleaning'!AC265)</f>
        <v>574.86666666666667</v>
      </c>
    </row>
    <row r="266" spans="1:13">
      <c r="A266" s="64" t="s">
        <v>30</v>
      </c>
      <c r="B266" s="64">
        <v>2020</v>
      </c>
      <c r="C266" s="64" t="s">
        <v>39</v>
      </c>
      <c r="D266" s="64">
        <f>SUM('Data cleaning'!D266+'Data cleaning'!E266+'Data cleaning'!F266+'Data cleaning'!G266+'Data cleaning'!H266+'Data cleaning'!I266+'Data cleaning'!J266+'Data cleaning'!K266+'Data cleaning'!L266+'Data cleaning'!O266+'Data cleaning'!P266+'Data cleaning'!M266)</f>
        <v>1808.9</v>
      </c>
      <c r="E266" s="64">
        <f>SUM('Data cleaning'!N266+'Data cleaning'!Q266+'Data cleaning'!AB266+'Data cleaning'!Z266)</f>
        <v>628.9</v>
      </c>
      <c r="F266" s="64">
        <f>SUM('Data cleaning'!R266+'Data cleaning'!S266+'Data cleaning'!T266)</f>
        <v>458.79999999999995</v>
      </c>
      <c r="G266" s="76">
        <f>SUM('Data cleaning'!U266+'Data cleaning'!W266)</f>
        <v>306.39999999999998</v>
      </c>
      <c r="H266" s="64">
        <v>144.9</v>
      </c>
      <c r="I266" s="64">
        <v>141.4</v>
      </c>
      <c r="J266" s="64">
        <v>161.80000000000001</v>
      </c>
      <c r="K266" s="64">
        <v>151.69999999999999</v>
      </c>
      <c r="L266" s="64">
        <v>152.69999999999999</v>
      </c>
      <c r="M266" s="64">
        <f>SUM('Data cleaning'!U266+'Data cleaning'!V266+'Data cleaning'!Y266+'Data cleaning'!AC266)</f>
        <v>592.70000000000005</v>
      </c>
    </row>
    <row r="267" spans="1:13">
      <c r="A267" s="64" t="s">
        <v>33</v>
      </c>
      <c r="B267" s="64">
        <v>2020</v>
      </c>
      <c r="C267" s="64" t="s">
        <v>39</v>
      </c>
      <c r="D267" s="64">
        <f>SUM('Data cleaning'!D267+'Data cleaning'!E267+'Data cleaning'!F267+'Data cleaning'!G267+'Data cleaning'!H267+'Data cleaning'!I267+'Data cleaning'!J267+'Data cleaning'!K267+'Data cleaning'!L267+'Data cleaning'!O267+'Data cleaning'!P267+'Data cleaning'!M267)</f>
        <v>1859.3999999999999</v>
      </c>
      <c r="E267" s="64">
        <f>SUM('Data cleaning'!N267+'Data cleaning'!Q267+'Data cleaning'!AB267+'Data cleaning'!Z267)</f>
        <v>619</v>
      </c>
      <c r="F267" s="64">
        <f>SUM('Data cleaning'!R267+'Data cleaning'!S267+'Data cleaning'!T267)</f>
        <v>432.9</v>
      </c>
      <c r="G267" s="76">
        <f>SUM('Data cleaning'!U267+'Data cleaning'!W267)</f>
        <v>295.10000000000002</v>
      </c>
      <c r="H267" s="64">
        <v>137.1</v>
      </c>
      <c r="I267" s="64">
        <v>129.30000000000001</v>
      </c>
      <c r="J267" s="64">
        <v>152.5</v>
      </c>
      <c r="K267" s="64">
        <v>142</v>
      </c>
      <c r="L267" s="64">
        <v>150.80000000000001</v>
      </c>
      <c r="M267" s="64">
        <f>SUM('Data cleaning'!U267+'Data cleaning'!V267+'Data cleaning'!Y267+'Data cleaning'!AC267)</f>
        <v>563.09999999999991</v>
      </c>
    </row>
    <row r="268" spans="1:13">
      <c r="A268" s="64" t="s">
        <v>34</v>
      </c>
      <c r="B268" s="64">
        <v>2020</v>
      </c>
      <c r="C268" s="64" t="s">
        <v>39</v>
      </c>
      <c r="D268" s="64">
        <f>SUM('Data cleaning'!D268+'Data cleaning'!E268+'Data cleaning'!F268+'Data cleaning'!G268+'Data cleaning'!H268+'Data cleaning'!I268+'Data cleaning'!J268+'Data cleaning'!K268+'Data cleaning'!L268+'Data cleaning'!O268+'Data cleaning'!P268+'Data cleaning'!M268)</f>
        <v>1827.4</v>
      </c>
      <c r="E268" s="64">
        <f>SUM('Data cleaning'!N268+'Data cleaning'!Q268+'Data cleaning'!AB268+'Data cleaning'!Z268)</f>
        <v>622.79999999999995</v>
      </c>
      <c r="F268" s="64">
        <f>SUM('Data cleaning'!R268+'Data cleaning'!S268+'Data cleaning'!T268)</f>
        <v>448.29999999999995</v>
      </c>
      <c r="G268" s="76">
        <f>SUM('Data cleaning'!U268+'Data cleaning'!W268)</f>
        <v>301.10000000000002</v>
      </c>
      <c r="H268" s="64">
        <v>141.9</v>
      </c>
      <c r="I268" s="64">
        <v>135</v>
      </c>
      <c r="J268" s="64">
        <v>156.4</v>
      </c>
      <c r="K268" s="64">
        <v>147</v>
      </c>
      <c r="L268" s="64">
        <v>151.80000000000001</v>
      </c>
      <c r="M268" s="64">
        <f>SUM('Data cleaning'!U268+'Data cleaning'!V268+'Data cleaning'!Y268+'Data cleaning'!AC268)</f>
        <v>578.6</v>
      </c>
    </row>
    <row r="269" spans="1:13">
      <c r="A269" s="64" t="s">
        <v>30</v>
      </c>
      <c r="B269" s="64">
        <v>2020</v>
      </c>
      <c r="C269" s="64" t="s">
        <v>40</v>
      </c>
      <c r="D269" s="64">
        <f>SUM('Data cleaning'!D269+'Data cleaning'!E269+'Data cleaning'!F269+'Data cleaning'!G269+'Data cleaning'!H269+'Data cleaning'!I269+'Data cleaning'!J269+'Data cleaning'!K269+'Data cleaning'!L269+'Data cleaning'!O269+'Data cleaning'!P269+'Data cleaning'!M269)</f>
        <v>1808.9</v>
      </c>
      <c r="E269" s="64">
        <f>SUM('Data cleaning'!N269+'Data cleaning'!Q269+'Data cleaning'!AB269+'Data cleaning'!Z269)</f>
        <v>628.9</v>
      </c>
      <c r="F269" s="64">
        <f>SUM('Data cleaning'!R269+'Data cleaning'!S269+'Data cleaning'!T269)</f>
        <v>458.79999999999995</v>
      </c>
      <c r="G269" s="76">
        <f>SUM('Data cleaning'!U269+'Data cleaning'!W269)</f>
        <v>306.39999999999998</v>
      </c>
      <c r="H269" s="64">
        <v>144.9</v>
      </c>
      <c r="I269" s="64">
        <v>141.4</v>
      </c>
      <c r="J269" s="64">
        <v>161.80000000000001</v>
      </c>
      <c r="K269" s="64">
        <v>151.69999999999999</v>
      </c>
      <c r="L269" s="64">
        <v>152.69999999999999</v>
      </c>
      <c r="M269" s="64">
        <f>SUM('Data cleaning'!U269+'Data cleaning'!V269+'Data cleaning'!Y269+'Data cleaning'!AC269)</f>
        <v>592.70000000000005</v>
      </c>
    </row>
    <row r="270" spans="1:13">
      <c r="A270" s="64" t="s">
        <v>33</v>
      </c>
      <c r="B270" s="64">
        <v>2020</v>
      </c>
      <c r="C270" s="64" t="s">
        <v>40</v>
      </c>
      <c r="D270" s="64">
        <f>SUM('Data cleaning'!D270+'Data cleaning'!E270+'Data cleaning'!F270+'Data cleaning'!G270+'Data cleaning'!H270+'Data cleaning'!I270+'Data cleaning'!J270+'Data cleaning'!K270+'Data cleaning'!L270+'Data cleaning'!O270+'Data cleaning'!P270+'Data cleaning'!M270)</f>
        <v>1859.3999999999999</v>
      </c>
      <c r="E270" s="64">
        <f>SUM('Data cleaning'!N270+'Data cleaning'!Q270+'Data cleaning'!AB270+'Data cleaning'!Z270)</f>
        <v>619</v>
      </c>
      <c r="F270" s="64">
        <f>SUM('Data cleaning'!R270+'Data cleaning'!S270+'Data cleaning'!T270)</f>
        <v>432.9</v>
      </c>
      <c r="G270" s="76">
        <f>SUM('Data cleaning'!U270+'Data cleaning'!W270)</f>
        <v>295.10000000000002</v>
      </c>
      <c r="H270" s="64">
        <v>137.1</v>
      </c>
      <c r="I270" s="64">
        <v>129.30000000000001</v>
      </c>
      <c r="J270" s="64">
        <v>152.5</v>
      </c>
      <c r="K270" s="64">
        <v>142</v>
      </c>
      <c r="L270" s="64">
        <v>150.80000000000001</v>
      </c>
      <c r="M270" s="64">
        <f>SUM('Data cleaning'!U270+'Data cleaning'!V270+'Data cleaning'!Y270+'Data cleaning'!AC270)</f>
        <v>563.09999999999991</v>
      </c>
    </row>
    <row r="271" spans="1:13">
      <c r="A271" s="64" t="s">
        <v>34</v>
      </c>
      <c r="B271" s="64">
        <v>2020</v>
      </c>
      <c r="C271" s="64" t="s">
        <v>40</v>
      </c>
      <c r="D271" s="64">
        <f>SUM('Data cleaning'!D271+'Data cleaning'!E271+'Data cleaning'!F271+'Data cleaning'!G271+'Data cleaning'!H271+'Data cleaning'!I271+'Data cleaning'!J271+'Data cleaning'!K271+'Data cleaning'!L271+'Data cleaning'!O271+'Data cleaning'!P271+'Data cleaning'!M271)</f>
        <v>1827.4</v>
      </c>
      <c r="E271" s="64">
        <f>SUM('Data cleaning'!N271+'Data cleaning'!Q271+'Data cleaning'!AB271+'Data cleaning'!Z271)</f>
        <v>622.79999999999995</v>
      </c>
      <c r="F271" s="64">
        <f>SUM('Data cleaning'!R271+'Data cleaning'!S271+'Data cleaning'!T271)</f>
        <v>448.29999999999995</v>
      </c>
      <c r="G271" s="76">
        <f>SUM('Data cleaning'!U271+'Data cleaning'!W271)</f>
        <v>301.10000000000002</v>
      </c>
      <c r="H271" s="64">
        <v>141.9</v>
      </c>
      <c r="I271" s="64">
        <v>135</v>
      </c>
      <c r="J271" s="64">
        <v>156.4</v>
      </c>
      <c r="K271" s="64">
        <v>147</v>
      </c>
      <c r="L271" s="64">
        <v>151.80000000000001</v>
      </c>
      <c r="M271" s="64">
        <f>SUM('Data cleaning'!U271+'Data cleaning'!V271+'Data cleaning'!Y271+'Data cleaning'!AC271)</f>
        <v>578.6</v>
      </c>
    </row>
    <row r="272" spans="1:13">
      <c r="A272" s="64" t="s">
        <v>30</v>
      </c>
      <c r="B272" s="64">
        <v>2020</v>
      </c>
      <c r="C272" s="64" t="s">
        <v>41</v>
      </c>
      <c r="D272" s="64">
        <f>SUM('Data cleaning'!D272+'Data cleaning'!E272+'Data cleaning'!F272+'Data cleaning'!G272+'Data cleaning'!H272+'Data cleaning'!I272+'Data cleaning'!J272+'Data cleaning'!K272+'Data cleaning'!L272+'Data cleaning'!O272+'Data cleaning'!P272+'Data cleaning'!M272)</f>
        <v>1835.1</v>
      </c>
      <c r="E272" s="64">
        <f>SUM('Data cleaning'!N272+'Data cleaning'!Q272+'Data cleaning'!AB272+'Data cleaning'!Z272)</f>
        <v>630.20000000000005</v>
      </c>
      <c r="F272" s="64">
        <f>SUM('Data cleaning'!R272+'Data cleaning'!S272+'Data cleaning'!T272)</f>
        <v>458.7</v>
      </c>
      <c r="G272" s="76">
        <f>SUM('Data cleaning'!U272+'Data cleaning'!W272)</f>
        <v>307.39999999999998</v>
      </c>
      <c r="H272" s="64">
        <v>145.80000000000001</v>
      </c>
      <c r="I272" s="64">
        <v>143.6</v>
      </c>
      <c r="J272" s="64">
        <v>162.69999999999999</v>
      </c>
      <c r="K272" s="64">
        <v>153</v>
      </c>
      <c r="L272" s="64">
        <v>154.69999999999999</v>
      </c>
      <c r="M272" s="64">
        <f>SUM('Data cleaning'!U272+'Data cleaning'!V272+'Data cleaning'!Y272+'Data cleaning'!AC272)</f>
        <v>597.9</v>
      </c>
    </row>
    <row r="273" spans="1:13">
      <c r="A273" s="64" t="s">
        <v>33</v>
      </c>
      <c r="B273" s="64">
        <v>2020</v>
      </c>
      <c r="C273" s="64" t="s">
        <v>41</v>
      </c>
      <c r="D273" s="64">
        <f>SUM('Data cleaning'!D273+'Data cleaning'!E273+'Data cleaning'!F273+'Data cleaning'!G273+'Data cleaning'!H273+'Data cleaning'!I273+'Data cleaning'!J273+'Data cleaning'!K273+'Data cleaning'!L273+'Data cleaning'!O273+'Data cleaning'!P273+'Data cleaning'!M273)</f>
        <v>1888.3999999999999</v>
      </c>
      <c r="E273" s="64">
        <f>SUM('Data cleaning'!N273+'Data cleaning'!Q273+'Data cleaning'!AB273+'Data cleaning'!Z273)</f>
        <v>620.09999999999991</v>
      </c>
      <c r="F273" s="64">
        <f>SUM('Data cleaning'!R273+'Data cleaning'!S273+'Data cleaning'!T273)</f>
        <v>433</v>
      </c>
      <c r="G273" s="76">
        <f>SUM('Data cleaning'!U273+'Data cleaning'!W273)</f>
        <v>300</v>
      </c>
      <c r="H273" s="64">
        <v>138.30000000000001</v>
      </c>
      <c r="I273" s="64">
        <v>133.9</v>
      </c>
      <c r="J273" s="64">
        <v>155.5</v>
      </c>
      <c r="K273" s="64">
        <v>144.80000000000001</v>
      </c>
      <c r="L273" s="64">
        <v>152.9</v>
      </c>
      <c r="M273" s="64">
        <f>SUM('Data cleaning'!U273+'Data cleaning'!V273+'Data cleaning'!Y273+'Data cleaning'!AC273)</f>
        <v>572.5</v>
      </c>
    </row>
    <row r="274" spans="1:13">
      <c r="A274" s="64" t="s">
        <v>34</v>
      </c>
      <c r="B274" s="64">
        <v>2020</v>
      </c>
      <c r="C274" s="64" t="s">
        <v>41</v>
      </c>
      <c r="D274" s="64">
        <f>SUM('Data cleaning'!D274+'Data cleaning'!E274+'Data cleaning'!F274+'Data cleaning'!G274+'Data cleaning'!H274+'Data cleaning'!I274+'Data cleaning'!J274+'Data cleaning'!K274+'Data cleaning'!L274+'Data cleaning'!O274+'Data cleaning'!P274+'Data cleaning'!M274)</f>
        <v>1854.6</v>
      </c>
      <c r="E274" s="64">
        <f>SUM('Data cleaning'!N274+'Data cleaning'!Q274+'Data cleaning'!AB274+'Data cleaning'!Z274)</f>
        <v>623.5</v>
      </c>
      <c r="F274" s="64">
        <f>SUM('Data cleaning'!R274+'Data cleaning'!S274+'Data cleaning'!T274)</f>
        <v>448.2</v>
      </c>
      <c r="G274" s="76">
        <f>SUM('Data cleaning'!U274+'Data cleaning'!W274)</f>
        <v>303.89999999999998</v>
      </c>
      <c r="H274" s="64">
        <v>143</v>
      </c>
      <c r="I274" s="64">
        <v>138.5</v>
      </c>
      <c r="J274" s="64">
        <v>158.5</v>
      </c>
      <c r="K274" s="64">
        <v>149</v>
      </c>
      <c r="L274" s="64">
        <v>153.9</v>
      </c>
      <c r="M274" s="64">
        <f>SUM('Data cleaning'!U274+'Data cleaning'!V274+'Data cleaning'!Y274+'Data cleaning'!AC274)</f>
        <v>586</v>
      </c>
    </row>
    <row r="275" spans="1:13">
      <c r="A275" s="64" t="s">
        <v>30</v>
      </c>
      <c r="B275" s="64">
        <v>2020</v>
      </c>
      <c r="C275" s="64" t="s">
        <v>42</v>
      </c>
      <c r="D275" s="64">
        <f>SUM('Data cleaning'!D275+'Data cleaning'!E275+'Data cleaning'!F275+'Data cleaning'!G275+'Data cleaning'!H275+'Data cleaning'!I275+'Data cleaning'!J275+'Data cleaning'!K275+'Data cleaning'!L275+'Data cleaning'!O275+'Data cleaning'!P275+'Data cleaning'!M275)</f>
        <v>1841.9999999999998</v>
      </c>
      <c r="E275" s="64">
        <f>SUM('Data cleaning'!N275+'Data cleaning'!Q275+'Data cleaning'!AB275+'Data cleaning'!Z275)</f>
        <v>638.5</v>
      </c>
      <c r="F275" s="64">
        <f>SUM('Data cleaning'!R275+'Data cleaning'!S275+'Data cleaning'!T275)</f>
        <v>459.9</v>
      </c>
      <c r="G275" s="76">
        <f>SUM('Data cleaning'!U275+'Data cleaning'!W275)</f>
        <v>307.89999999999998</v>
      </c>
      <c r="H275" s="64">
        <v>146.4</v>
      </c>
      <c r="I275" s="64">
        <v>144.6</v>
      </c>
      <c r="J275" s="64">
        <v>161.1</v>
      </c>
      <c r="K275" s="64">
        <v>153.69999999999999</v>
      </c>
      <c r="L275" s="64">
        <v>155.4</v>
      </c>
      <c r="M275" s="64">
        <f>SUM('Data cleaning'!U275+'Data cleaning'!V275+'Data cleaning'!Y275+'Data cleaning'!AC275)</f>
        <v>601</v>
      </c>
    </row>
    <row r="276" spans="1:13">
      <c r="A276" s="64" t="s">
        <v>33</v>
      </c>
      <c r="B276" s="64">
        <v>2020</v>
      </c>
      <c r="C276" s="64" t="s">
        <v>42</v>
      </c>
      <c r="D276" s="64">
        <f>SUM('Data cleaning'!D276+'Data cleaning'!E276+'Data cleaning'!F276+'Data cleaning'!G276+'Data cleaning'!H276+'Data cleaning'!I276+'Data cleaning'!J276+'Data cleaning'!K276+'Data cleaning'!L276+'Data cleaning'!O276+'Data cleaning'!P276+'Data cleaning'!M276)</f>
        <v>1903.9</v>
      </c>
      <c r="E276" s="64">
        <f>SUM('Data cleaning'!N276+'Data cleaning'!Q276+'Data cleaning'!AB276+'Data cleaning'!Z276)</f>
        <v>628</v>
      </c>
      <c r="F276" s="64">
        <f>SUM('Data cleaning'!R276+'Data cleaning'!S276+'Data cleaning'!T276)</f>
        <v>434.6</v>
      </c>
      <c r="G276" s="76">
        <f>SUM('Data cleaning'!U276+'Data cleaning'!W276)</f>
        <v>301.70000000000005</v>
      </c>
      <c r="H276" s="64">
        <v>137.19999999999999</v>
      </c>
      <c r="I276" s="64">
        <v>135.1</v>
      </c>
      <c r="J276" s="64">
        <v>154.9</v>
      </c>
      <c r="K276" s="64">
        <v>146</v>
      </c>
      <c r="L276" s="64">
        <v>154</v>
      </c>
      <c r="M276" s="64">
        <f>SUM('Data cleaning'!U276+'Data cleaning'!V276+'Data cleaning'!Y276+'Data cleaning'!AC276)</f>
        <v>574.6</v>
      </c>
    </row>
    <row r="277" spans="1:13">
      <c r="A277" s="64" t="s">
        <v>34</v>
      </c>
      <c r="B277" s="64">
        <v>2020</v>
      </c>
      <c r="C277" s="64" t="s">
        <v>42</v>
      </c>
      <c r="D277" s="64">
        <f>SUM('Data cleaning'!D277+'Data cleaning'!E277+'Data cleaning'!F277+'Data cleaning'!G277+'Data cleaning'!H277+'Data cleaning'!I277+'Data cleaning'!J277+'Data cleaning'!K277+'Data cleaning'!L277+'Data cleaning'!O277+'Data cleaning'!P277+'Data cleaning'!M277)</f>
        <v>1864.8</v>
      </c>
      <c r="E277" s="64">
        <f>SUM('Data cleaning'!N277+'Data cleaning'!Q277+'Data cleaning'!AB277+'Data cleaning'!Z277)</f>
        <v>631.6</v>
      </c>
      <c r="F277" s="64">
        <f>SUM('Data cleaning'!R277+'Data cleaning'!S277+'Data cleaning'!T277)</f>
        <v>449.70000000000005</v>
      </c>
      <c r="G277" s="76">
        <f>SUM('Data cleaning'!U277+'Data cleaning'!W277)</f>
        <v>305</v>
      </c>
      <c r="H277" s="64">
        <v>142.9</v>
      </c>
      <c r="I277" s="64">
        <v>139.6</v>
      </c>
      <c r="J277" s="64">
        <v>157.5</v>
      </c>
      <c r="K277" s="64">
        <v>150</v>
      </c>
      <c r="L277" s="64">
        <v>154.69999999999999</v>
      </c>
      <c r="M277" s="64">
        <f>SUM('Data cleaning'!U277+'Data cleaning'!V277+'Data cleaning'!Y277+'Data cleaning'!AC277)</f>
        <v>588.80000000000007</v>
      </c>
    </row>
    <row r="278" spans="1:13">
      <c r="A278" s="64" t="s">
        <v>30</v>
      </c>
      <c r="B278" s="64">
        <v>2020</v>
      </c>
      <c r="C278" s="64" t="s">
        <v>43</v>
      </c>
      <c r="D278" s="64">
        <f>SUM('Data cleaning'!D278+'Data cleaning'!E278+'Data cleaning'!F278+'Data cleaning'!G278+'Data cleaning'!H278+'Data cleaning'!I278+'Data cleaning'!J278+'Data cleaning'!K278+'Data cleaning'!L278+'Data cleaning'!O278+'Data cleaning'!P278+'Data cleaning'!M278)</f>
        <v>1883.5</v>
      </c>
      <c r="E278" s="64">
        <f>SUM('Data cleaning'!N278+'Data cleaning'!Q278+'Data cleaning'!AB278+'Data cleaning'!Z278)</f>
        <v>638.70000000000005</v>
      </c>
      <c r="F278" s="64">
        <f>SUM('Data cleaning'!R278+'Data cleaning'!S278+'Data cleaning'!T278)</f>
        <v>461.29999999999995</v>
      </c>
      <c r="G278" s="76">
        <f>SUM('Data cleaning'!U278+'Data cleaning'!W278)</f>
        <v>308.5</v>
      </c>
      <c r="H278" s="64">
        <v>146.80000000000001</v>
      </c>
      <c r="I278" s="64">
        <v>146.4</v>
      </c>
      <c r="J278" s="64">
        <v>162.5</v>
      </c>
      <c r="K278" s="64">
        <v>154.30000000000001</v>
      </c>
      <c r="L278" s="64">
        <v>157.5</v>
      </c>
      <c r="M278" s="64">
        <f>SUM('Data cleaning'!U278+'Data cleaning'!V278+'Data cleaning'!Y278+'Data cleaning'!AC278)</f>
        <v>604</v>
      </c>
    </row>
    <row r="279" spans="1:13">
      <c r="A279" s="64" t="s">
        <v>33</v>
      </c>
      <c r="B279" s="64">
        <v>2020</v>
      </c>
      <c r="C279" s="64" t="s">
        <v>43</v>
      </c>
      <c r="D279" s="64">
        <f>SUM('Data cleaning'!D279+'Data cleaning'!E279+'Data cleaning'!F279+'Data cleaning'!G279+'Data cleaning'!H279+'Data cleaning'!I279+'Data cleaning'!J279+'Data cleaning'!K279+'Data cleaning'!L279+'Data cleaning'!O279+'Data cleaning'!P279+'Data cleaning'!M279)</f>
        <v>1941</v>
      </c>
      <c r="E279" s="64">
        <f>SUM('Data cleaning'!N279+'Data cleaning'!Q279+'Data cleaning'!AB279+'Data cleaning'!Z279)</f>
        <v>628</v>
      </c>
      <c r="F279" s="64">
        <f>SUM('Data cleaning'!R279+'Data cleaning'!S279+'Data cleaning'!T279)</f>
        <v>434.90000000000003</v>
      </c>
      <c r="G279" s="76">
        <f>SUM('Data cleaning'!U279+'Data cleaning'!W279)</f>
        <v>301.60000000000002</v>
      </c>
      <c r="H279" s="64">
        <v>137.1</v>
      </c>
      <c r="I279" s="64">
        <v>135.4</v>
      </c>
      <c r="J279" s="64">
        <v>155.69999999999999</v>
      </c>
      <c r="K279" s="64">
        <v>146.19999999999999</v>
      </c>
      <c r="L279" s="64">
        <v>155.19999999999999</v>
      </c>
      <c r="M279" s="64">
        <f>SUM('Data cleaning'!U279+'Data cleaning'!V279+'Data cleaning'!Y279+'Data cleaning'!AC279)</f>
        <v>575.20000000000005</v>
      </c>
    </row>
    <row r="280" spans="1:13">
      <c r="A280" s="64" t="s">
        <v>34</v>
      </c>
      <c r="B280" s="64">
        <v>2020</v>
      </c>
      <c r="C280" s="64" t="s">
        <v>43</v>
      </c>
      <c r="D280" s="64">
        <f>SUM('Data cleaning'!D280+'Data cleaning'!E280+'Data cleaning'!F280+'Data cleaning'!G280+'Data cleaning'!H280+'Data cleaning'!I280+'Data cleaning'!J280+'Data cleaning'!K280+'Data cleaning'!L280+'Data cleaning'!O280+'Data cleaning'!P280+'Data cleaning'!M280)</f>
        <v>1904.6000000000004</v>
      </c>
      <c r="E280" s="64">
        <f>SUM('Data cleaning'!N280+'Data cleaning'!Q280+'Data cleaning'!AB280+'Data cleaning'!Z280)</f>
        <v>631.79999999999995</v>
      </c>
      <c r="F280" s="64">
        <f>SUM('Data cleaning'!R280+'Data cleaning'!S280+'Data cleaning'!T280)</f>
        <v>450.59999999999997</v>
      </c>
      <c r="G280" s="76">
        <f>SUM('Data cleaning'!U280+'Data cleaning'!W280)</f>
        <v>305.2</v>
      </c>
      <c r="H280" s="64">
        <v>143.1</v>
      </c>
      <c r="I280" s="64">
        <v>140.6</v>
      </c>
      <c r="J280" s="64">
        <v>158.5</v>
      </c>
      <c r="K280" s="64">
        <v>150.4</v>
      </c>
      <c r="L280" s="64">
        <v>156.4</v>
      </c>
      <c r="M280" s="64">
        <f>SUM('Data cleaning'!U280+'Data cleaning'!V280+'Data cleaning'!Y280+'Data cleaning'!AC280)</f>
        <v>590.6</v>
      </c>
    </row>
    <row r="281" spans="1:13">
      <c r="A281" s="64" t="s">
        <v>30</v>
      </c>
      <c r="B281" s="64">
        <v>2020</v>
      </c>
      <c r="C281" s="64" t="s">
        <v>45</v>
      </c>
      <c r="D281" s="64">
        <f>SUM('Data cleaning'!D281+'Data cleaning'!E281+'Data cleaning'!F281+'Data cleaning'!G281+'Data cleaning'!H281+'Data cleaning'!I281+'Data cleaning'!J281+'Data cleaning'!K281+'Data cleaning'!L281+'Data cleaning'!O281+'Data cleaning'!P281+'Data cleaning'!M281)</f>
        <v>1932.4000000000003</v>
      </c>
      <c r="E281" s="64">
        <f>SUM('Data cleaning'!N281+'Data cleaning'!Q281+'Data cleaning'!AB281+'Data cleaning'!Z281)</f>
        <v>643.19999999999993</v>
      </c>
      <c r="F281" s="64">
        <f>SUM('Data cleaning'!R281+'Data cleaning'!S281+'Data cleaning'!T281)</f>
        <v>462.8</v>
      </c>
      <c r="G281" s="76">
        <f>SUM('Data cleaning'!U281+'Data cleaning'!W281)</f>
        <v>310.8</v>
      </c>
      <c r="H281" s="64">
        <v>147.5</v>
      </c>
      <c r="I281" s="64">
        <v>146.1</v>
      </c>
      <c r="J281" s="64">
        <v>161.6</v>
      </c>
      <c r="K281" s="64">
        <v>154.5</v>
      </c>
      <c r="L281" s="64">
        <v>159.80000000000001</v>
      </c>
      <c r="M281" s="64">
        <f>SUM('Data cleaning'!U281+'Data cleaning'!V281+'Data cleaning'!Y281+'Data cleaning'!AC281)</f>
        <v>606.1</v>
      </c>
    </row>
    <row r="282" spans="1:13">
      <c r="A282" s="64" t="s">
        <v>33</v>
      </c>
      <c r="B282" s="64">
        <v>2020</v>
      </c>
      <c r="C282" s="64" t="s">
        <v>45</v>
      </c>
      <c r="D282" s="64">
        <f>SUM('Data cleaning'!D282+'Data cleaning'!E282+'Data cleaning'!F282+'Data cleaning'!G282+'Data cleaning'!H282+'Data cleaning'!I282+'Data cleaning'!J282+'Data cleaning'!K282+'Data cleaning'!L282+'Data cleaning'!O282+'Data cleaning'!P282+'Data cleaning'!M282)</f>
        <v>1979.2</v>
      </c>
      <c r="E282" s="64">
        <f>SUM('Data cleaning'!N282+'Data cleaning'!Q282+'Data cleaning'!AB282+'Data cleaning'!Z282)</f>
        <v>632.6</v>
      </c>
      <c r="F282" s="64">
        <f>SUM('Data cleaning'!R282+'Data cleaning'!S282+'Data cleaning'!T282)</f>
        <v>436.3</v>
      </c>
      <c r="G282" s="76">
        <f>SUM('Data cleaning'!U282+'Data cleaning'!W282)</f>
        <v>303.10000000000002</v>
      </c>
      <c r="H282" s="64">
        <v>137.30000000000001</v>
      </c>
      <c r="I282" s="64">
        <v>135.19999999999999</v>
      </c>
      <c r="J282" s="64">
        <v>156.4</v>
      </c>
      <c r="K282" s="64">
        <v>146.6</v>
      </c>
      <c r="L282" s="64">
        <v>156.69999999999999</v>
      </c>
      <c r="M282" s="64">
        <f>SUM('Data cleaning'!U282+'Data cleaning'!V282+'Data cleaning'!Y282+'Data cleaning'!AC282)</f>
        <v>577.1</v>
      </c>
    </row>
    <row r="283" spans="1:13">
      <c r="A283" s="64" t="s">
        <v>34</v>
      </c>
      <c r="B283" s="64">
        <v>2020</v>
      </c>
      <c r="C283" s="64" t="s">
        <v>45</v>
      </c>
      <c r="D283" s="64">
        <f>SUM('Data cleaning'!D283+'Data cleaning'!E283+'Data cleaning'!F283+'Data cleaning'!G283+'Data cleaning'!H283+'Data cleaning'!I283+'Data cleaning'!J283+'Data cleaning'!K283+'Data cleaning'!L283+'Data cleaning'!O283+'Data cleaning'!P283+'Data cleaning'!M283)</f>
        <v>1949.1000000000001</v>
      </c>
      <c r="E283" s="64">
        <f>SUM('Data cleaning'!N283+'Data cleaning'!Q283+'Data cleaning'!AB283+'Data cleaning'!Z283)</f>
        <v>636.6</v>
      </c>
      <c r="F283" s="64">
        <f>SUM('Data cleaning'!R283+'Data cleaning'!S283+'Data cleaning'!T283)</f>
        <v>452.00000000000006</v>
      </c>
      <c r="G283" s="76">
        <f>SUM('Data cleaning'!U283+'Data cleaning'!W283)</f>
        <v>307.2</v>
      </c>
      <c r="H283" s="64">
        <v>143.6</v>
      </c>
      <c r="I283" s="64">
        <v>140.4</v>
      </c>
      <c r="J283" s="64">
        <v>158.6</v>
      </c>
      <c r="K283" s="64">
        <v>150.69999999999999</v>
      </c>
      <c r="L283" s="64">
        <v>158.4</v>
      </c>
      <c r="M283" s="64">
        <f>SUM('Data cleaning'!U283+'Data cleaning'!V283+'Data cleaning'!Y283+'Data cleaning'!AC283)</f>
        <v>592.70000000000005</v>
      </c>
    </row>
    <row r="284" spans="1:13">
      <c r="A284" s="64" t="s">
        <v>30</v>
      </c>
      <c r="B284" s="64">
        <v>2020</v>
      </c>
      <c r="C284" s="64" t="s">
        <v>46</v>
      </c>
      <c r="D284" s="64">
        <f>SUM('Data cleaning'!D284+'Data cleaning'!E284+'Data cleaning'!F284+'Data cleaning'!G284+'Data cleaning'!H284+'Data cleaning'!I284+'Data cleaning'!J284+'Data cleaning'!K284+'Data cleaning'!L284+'Data cleaning'!O284+'Data cleaning'!P284+'Data cleaning'!M284)</f>
        <v>1947.1</v>
      </c>
      <c r="E284" s="64">
        <f>SUM('Data cleaning'!N284+'Data cleaning'!Q284+'Data cleaning'!AB284+'Data cleaning'!Z284)</f>
        <v>647.5</v>
      </c>
      <c r="F284" s="64">
        <f>SUM('Data cleaning'!R284+'Data cleaning'!S284+'Data cleaning'!T284)</f>
        <v>464.90000000000003</v>
      </c>
      <c r="G284" s="76">
        <f>SUM('Data cleaning'!U284+'Data cleaning'!W284)</f>
        <v>311.8</v>
      </c>
      <c r="H284" s="64">
        <v>148.69999999999999</v>
      </c>
      <c r="I284" s="64">
        <v>146.4</v>
      </c>
      <c r="J284" s="64">
        <v>162.9</v>
      </c>
      <c r="K284" s="64">
        <v>155.19999999999999</v>
      </c>
      <c r="L284" s="64">
        <v>160.69999999999999</v>
      </c>
      <c r="M284" s="64">
        <f>SUM('Data cleaning'!U284+'Data cleaning'!V284+'Data cleaning'!Y284+'Data cleaning'!AC284)</f>
        <v>608.70000000000005</v>
      </c>
    </row>
    <row r="285" spans="1:13">
      <c r="A285" s="64" t="s">
        <v>33</v>
      </c>
      <c r="B285" s="64">
        <v>2020</v>
      </c>
      <c r="C285" s="64" t="s">
        <v>46</v>
      </c>
      <c r="D285" s="64">
        <f>SUM('Data cleaning'!D285+'Data cleaning'!E285+'Data cleaning'!F285+'Data cleaning'!G285+'Data cleaning'!H285+'Data cleaning'!I285+'Data cleaning'!J285+'Data cleaning'!K285+'Data cleaning'!L285+'Data cleaning'!O285+'Data cleaning'!P285+'Data cleaning'!M285)</f>
        <v>1982.1000000000001</v>
      </c>
      <c r="E285" s="64">
        <f>SUM('Data cleaning'!N285+'Data cleaning'!Q285+'Data cleaning'!AB285+'Data cleaning'!Z285)</f>
        <v>635.70000000000005</v>
      </c>
      <c r="F285" s="64">
        <f>SUM('Data cleaning'!R285+'Data cleaning'!S285+'Data cleaning'!T285)</f>
        <v>438.20000000000005</v>
      </c>
      <c r="G285" s="76">
        <f>SUM('Data cleaning'!U285+'Data cleaning'!W285)</f>
        <v>303.89999999999998</v>
      </c>
      <c r="H285" s="64">
        <v>137.9</v>
      </c>
      <c r="I285" s="64">
        <v>135.5</v>
      </c>
      <c r="J285" s="64">
        <v>156.9</v>
      </c>
      <c r="K285" s="64">
        <v>146.9</v>
      </c>
      <c r="L285" s="64">
        <v>156.9</v>
      </c>
      <c r="M285" s="64">
        <f>SUM('Data cleaning'!U285+'Data cleaning'!V285+'Data cleaning'!Y285+'Data cleaning'!AC285)</f>
        <v>578.70000000000005</v>
      </c>
    </row>
    <row r="286" spans="1:13">
      <c r="A286" s="64" t="s">
        <v>34</v>
      </c>
      <c r="B286" s="64">
        <v>2020</v>
      </c>
      <c r="C286" s="64" t="s">
        <v>46</v>
      </c>
      <c r="D286" s="64">
        <f>SUM('Data cleaning'!D286+'Data cleaning'!E286+'Data cleaning'!F286+'Data cleaning'!G286+'Data cleaning'!H286+'Data cleaning'!I286+'Data cleaning'!J286+'Data cleaning'!K286+'Data cleaning'!L286+'Data cleaning'!O286+'Data cleaning'!P286+'Data cleaning'!M286)</f>
        <v>1959.9</v>
      </c>
      <c r="E286" s="64">
        <f>SUM('Data cleaning'!N286+'Data cleaning'!Q286+'Data cleaning'!AB286+'Data cleaning'!Z286)</f>
        <v>640.20000000000005</v>
      </c>
      <c r="F286" s="64">
        <f>SUM('Data cleaning'!R286+'Data cleaning'!S286+'Data cleaning'!T286)</f>
        <v>454</v>
      </c>
      <c r="G286" s="76">
        <f>SUM('Data cleaning'!U286+'Data cleaning'!W286)</f>
        <v>308.10000000000002</v>
      </c>
      <c r="H286" s="64">
        <v>144.6</v>
      </c>
      <c r="I286" s="64">
        <v>140.69999999999999</v>
      </c>
      <c r="J286" s="64">
        <v>159.4</v>
      </c>
      <c r="K286" s="64">
        <v>151.19999999999999</v>
      </c>
      <c r="L286" s="64">
        <v>158.9</v>
      </c>
      <c r="M286" s="64">
        <f>SUM('Data cleaning'!U286+'Data cleaning'!V286+'Data cleaning'!Y286+'Data cleaning'!AC286)</f>
        <v>594.9</v>
      </c>
    </row>
    <row r="287" spans="1:13">
      <c r="A287" s="64" t="s">
        <v>30</v>
      </c>
      <c r="B287" s="64">
        <v>2021</v>
      </c>
      <c r="C287" s="64" t="s">
        <v>31</v>
      </c>
      <c r="D287" s="64">
        <f>SUM('Data cleaning'!D287+'Data cleaning'!E287+'Data cleaning'!F287+'Data cleaning'!G287+'Data cleaning'!H287+'Data cleaning'!I287+'Data cleaning'!J287+'Data cleaning'!K287+'Data cleaning'!L287+'Data cleaning'!O287+'Data cleaning'!P287+'Data cleaning'!M287)</f>
        <v>1909.5999999999997</v>
      </c>
      <c r="E287" s="64">
        <f>SUM('Data cleaning'!N287+'Data cleaning'!Q287+'Data cleaning'!AB287+'Data cleaning'!Z287)</f>
        <v>652</v>
      </c>
      <c r="F287" s="64">
        <f>SUM('Data cleaning'!R287+'Data cleaning'!S287+'Data cleaning'!T287)</f>
        <v>466.7</v>
      </c>
      <c r="G287" s="76">
        <f>SUM('Data cleaning'!U287+'Data cleaning'!W287)</f>
        <v>311.60000000000002</v>
      </c>
      <c r="H287" s="64">
        <v>150.9</v>
      </c>
      <c r="I287" s="64">
        <v>147.5</v>
      </c>
      <c r="J287" s="64">
        <v>163.5</v>
      </c>
      <c r="K287" s="64">
        <v>155.9</v>
      </c>
      <c r="L287" s="64">
        <v>158.5</v>
      </c>
      <c r="M287" s="64">
        <f>SUM('Data cleaning'!U287+'Data cleaning'!V287+'Data cleaning'!Y287+'Data cleaning'!AC287)</f>
        <v>612</v>
      </c>
    </row>
    <row r="288" spans="1:13">
      <c r="A288" s="64" t="s">
        <v>33</v>
      </c>
      <c r="B288" s="64">
        <v>2021</v>
      </c>
      <c r="C288" s="64" t="s">
        <v>31</v>
      </c>
      <c r="D288" s="64">
        <f>SUM('Data cleaning'!D288+'Data cleaning'!E288+'Data cleaning'!F288+'Data cleaning'!G288+'Data cleaning'!H288+'Data cleaning'!I288+'Data cleaning'!J288+'Data cleaning'!K288+'Data cleaning'!L288+'Data cleaning'!O288+'Data cleaning'!P288+'Data cleaning'!M288)</f>
        <v>1951.1000000000001</v>
      </c>
      <c r="E288" s="64">
        <f>SUM('Data cleaning'!N288+'Data cleaning'!Q288+'Data cleaning'!AB288+'Data cleaning'!Z288)</f>
        <v>640.80000000000007</v>
      </c>
      <c r="F288" s="64">
        <f>SUM('Data cleaning'!R288+'Data cleaning'!S288+'Data cleaning'!T288)</f>
        <v>440</v>
      </c>
      <c r="G288" s="76">
        <f>SUM('Data cleaning'!U288+'Data cleaning'!W288)</f>
        <v>303.39999999999998</v>
      </c>
      <c r="H288" s="64">
        <v>142.9</v>
      </c>
      <c r="I288" s="64">
        <v>136.9</v>
      </c>
      <c r="J288" s="64">
        <v>156.1</v>
      </c>
      <c r="K288" s="64">
        <v>147.6</v>
      </c>
      <c r="L288" s="64">
        <v>156</v>
      </c>
      <c r="M288" s="64">
        <f>SUM('Data cleaning'!U288+'Data cleaning'!V288+'Data cleaning'!Y288+'Data cleaning'!AC288)</f>
        <v>585.1</v>
      </c>
    </row>
    <row r="289" spans="1:13">
      <c r="A289" s="64" t="s">
        <v>34</v>
      </c>
      <c r="B289" s="64">
        <v>2021</v>
      </c>
      <c r="C289" s="64" t="s">
        <v>31</v>
      </c>
      <c r="D289" s="64">
        <f>SUM('Data cleaning'!D289+'Data cleaning'!E289+'Data cleaning'!F289+'Data cleaning'!G289+'Data cleaning'!H289+'Data cleaning'!I289+'Data cleaning'!J289+'Data cleaning'!K289+'Data cleaning'!L289+'Data cleaning'!O289+'Data cleaning'!P289+'Data cleaning'!M289)</f>
        <v>1924.6999999999998</v>
      </c>
      <c r="E289" s="64">
        <f>SUM('Data cleaning'!N289+'Data cleaning'!Q289+'Data cleaning'!AB289+'Data cleaning'!Z289)</f>
        <v>644.70000000000005</v>
      </c>
      <c r="F289" s="64">
        <f>SUM('Data cleaning'!R289+'Data cleaning'!S289+'Data cleaning'!T289)</f>
        <v>455.8</v>
      </c>
      <c r="G289" s="76">
        <f>SUM('Data cleaning'!U289+'Data cleaning'!W289)</f>
        <v>307.7</v>
      </c>
      <c r="H289" s="64">
        <v>147.9</v>
      </c>
      <c r="I289" s="64">
        <v>141.9</v>
      </c>
      <c r="J289" s="64">
        <v>159.19999999999999</v>
      </c>
      <c r="K289" s="64">
        <v>151.9</v>
      </c>
      <c r="L289" s="64">
        <v>157.30000000000001</v>
      </c>
      <c r="M289" s="64">
        <f>SUM('Data cleaning'!U289+'Data cleaning'!V289+'Data cleaning'!Y289+'Data cleaning'!AC289)</f>
        <v>599.4</v>
      </c>
    </row>
    <row r="290" spans="1:13">
      <c r="A290" s="64" t="s">
        <v>30</v>
      </c>
      <c r="B290" s="64">
        <v>2021</v>
      </c>
      <c r="C290" s="64" t="s">
        <v>35</v>
      </c>
      <c r="D290" s="64">
        <f>SUM('Data cleaning'!D290+'Data cleaning'!E290+'Data cleaning'!F290+'Data cleaning'!G290+'Data cleaning'!H290+'Data cleaning'!I290+'Data cleaning'!J290+'Data cleaning'!K290+'Data cleaning'!L290+'Data cleaning'!O290+'Data cleaning'!P290+'Data cleaning'!M290)</f>
        <v>1865.3</v>
      </c>
      <c r="E290" s="64">
        <f>SUM('Data cleaning'!N290+'Data cleaning'!Q290+'Data cleaning'!AB290+'Data cleaning'!Z290)</f>
        <v>658.7</v>
      </c>
      <c r="F290" s="64">
        <f>SUM('Data cleaning'!R290+'Data cleaning'!S290+'Data cleaning'!T290)</f>
        <v>471.4</v>
      </c>
      <c r="G290" s="76">
        <f>SUM('Data cleaning'!U290+'Data cleaning'!W290)</f>
        <v>314.70000000000005</v>
      </c>
      <c r="H290" s="64">
        <v>154.4</v>
      </c>
      <c r="I290" s="64">
        <v>150.19999999999999</v>
      </c>
      <c r="J290" s="64">
        <v>163.6</v>
      </c>
      <c r="K290" s="64">
        <v>157.19999999999999</v>
      </c>
      <c r="L290" s="64">
        <v>156.69999999999999</v>
      </c>
      <c r="M290" s="64">
        <f>SUM('Data cleaning'!U290+'Data cleaning'!V290+'Data cleaning'!Y290+'Data cleaning'!AC290)</f>
        <v>621.70000000000005</v>
      </c>
    </row>
    <row r="291" spans="1:13">
      <c r="A291" s="64" t="s">
        <v>33</v>
      </c>
      <c r="B291" s="64">
        <v>2021</v>
      </c>
      <c r="C291" s="64" t="s">
        <v>35</v>
      </c>
      <c r="D291" s="64">
        <f>SUM('Data cleaning'!D291+'Data cleaning'!E291+'Data cleaning'!F291+'Data cleaning'!G291+'Data cleaning'!H291+'Data cleaning'!I291+'Data cleaning'!J291+'Data cleaning'!K291+'Data cleaning'!L291+'Data cleaning'!O291+'Data cleaning'!P291+'Data cleaning'!M291)</f>
        <v>1916.8</v>
      </c>
      <c r="E291" s="64">
        <f>SUM('Data cleaning'!N291+'Data cleaning'!Q291+'Data cleaning'!AB291+'Data cleaning'!Z291)</f>
        <v>646.5</v>
      </c>
      <c r="F291" s="64">
        <f>SUM('Data cleaning'!R291+'Data cleaning'!S291+'Data cleaning'!T291)</f>
        <v>444.2</v>
      </c>
      <c r="G291" s="76">
        <f>SUM('Data cleaning'!U291+'Data cleaning'!W291)</f>
        <v>306.3</v>
      </c>
      <c r="H291" s="64">
        <v>149.1</v>
      </c>
      <c r="I291" s="64">
        <v>140.5</v>
      </c>
      <c r="J291" s="64">
        <v>156.6</v>
      </c>
      <c r="K291" s="64">
        <v>149.30000000000001</v>
      </c>
      <c r="L291" s="64">
        <v>156.5</v>
      </c>
      <c r="M291" s="64">
        <f>SUM('Data cleaning'!U291+'Data cleaning'!V291+'Data cleaning'!Y291+'Data cleaning'!AC291)</f>
        <v>598.70000000000005</v>
      </c>
    </row>
    <row r="292" spans="1:13">
      <c r="A292" s="64" t="s">
        <v>34</v>
      </c>
      <c r="B292" s="64">
        <v>2021</v>
      </c>
      <c r="C292" s="64" t="s">
        <v>35</v>
      </c>
      <c r="D292" s="64">
        <f>SUM('Data cleaning'!D292+'Data cleaning'!E292+'Data cleaning'!F292+'Data cleaning'!G292+'Data cleaning'!H292+'Data cleaning'!I292+'Data cleaning'!J292+'Data cleaning'!K292+'Data cleaning'!L292+'Data cleaning'!O292+'Data cleaning'!P292+'Data cleaning'!M292)</f>
        <v>1883.8000000000002</v>
      </c>
      <c r="E292" s="64">
        <f>SUM('Data cleaning'!N292+'Data cleaning'!Q292+'Data cleaning'!AB292+'Data cleaning'!Z292)</f>
        <v>651.1</v>
      </c>
      <c r="F292" s="64">
        <f>SUM('Data cleaning'!R292+'Data cleaning'!S292+'Data cleaning'!T292)</f>
        <v>460.40000000000003</v>
      </c>
      <c r="G292" s="76">
        <f>SUM('Data cleaning'!U292+'Data cleaning'!W292)</f>
        <v>310.70000000000005</v>
      </c>
      <c r="H292" s="64">
        <v>152.4</v>
      </c>
      <c r="I292" s="64">
        <v>145.1</v>
      </c>
      <c r="J292" s="64">
        <v>159.5</v>
      </c>
      <c r="K292" s="64">
        <v>153.4</v>
      </c>
      <c r="L292" s="64">
        <v>156.6</v>
      </c>
      <c r="M292" s="64">
        <f>SUM('Data cleaning'!U292+'Data cleaning'!V292+'Data cleaning'!Y292+'Data cleaning'!AC292)</f>
        <v>610.70000000000005</v>
      </c>
    </row>
    <row r="293" spans="1:13">
      <c r="A293" s="64" t="s">
        <v>30</v>
      </c>
      <c r="B293" s="64">
        <v>2021</v>
      </c>
      <c r="C293" s="64" t="s">
        <v>36</v>
      </c>
      <c r="D293" s="64">
        <f>SUM('Data cleaning'!D293+'Data cleaning'!E293+'Data cleaning'!F293+'Data cleaning'!G293+'Data cleaning'!H293+'Data cleaning'!I293+'Data cleaning'!J293+'Data cleaning'!K293+'Data cleaning'!L293+'Data cleaning'!O293+'Data cleaning'!P293+'Data cleaning'!M293)</f>
        <v>1865.1000000000001</v>
      </c>
      <c r="E293" s="64">
        <f>SUM('Data cleaning'!N293+'Data cleaning'!Q293+'Data cleaning'!AB293+'Data cleaning'!Z293)</f>
        <v>657.59999999999991</v>
      </c>
      <c r="F293" s="64">
        <f>SUM('Data cleaning'!R293+'Data cleaning'!S293+'Data cleaning'!T293)</f>
        <v>472.9</v>
      </c>
      <c r="G293" s="76">
        <f>SUM('Data cleaning'!U293+'Data cleaning'!W293)</f>
        <v>316.20000000000005</v>
      </c>
      <c r="H293" s="64">
        <v>156</v>
      </c>
      <c r="I293" s="64">
        <v>151.30000000000001</v>
      </c>
      <c r="J293" s="64">
        <v>163.80000000000001</v>
      </c>
      <c r="K293" s="64">
        <v>157.30000000000001</v>
      </c>
      <c r="L293" s="64">
        <v>156.69999999999999</v>
      </c>
      <c r="M293" s="64">
        <f>SUM('Data cleaning'!U293+'Data cleaning'!V293+'Data cleaning'!Y293+'Data cleaning'!AC293)</f>
        <v>626</v>
      </c>
    </row>
    <row r="294" spans="1:13">
      <c r="A294" s="64" t="s">
        <v>33</v>
      </c>
      <c r="B294" s="64">
        <v>2021</v>
      </c>
      <c r="C294" s="64" t="s">
        <v>36</v>
      </c>
      <c r="D294" s="64">
        <f>SUM('Data cleaning'!D294+'Data cleaning'!E294+'Data cleaning'!F294+'Data cleaning'!G294+'Data cleaning'!H294+'Data cleaning'!I294+'Data cleaning'!J294+'Data cleaning'!K294+'Data cleaning'!L294+'Data cleaning'!O294+'Data cleaning'!P294+'Data cleaning'!M294)</f>
        <v>1913.7999999999997</v>
      </c>
      <c r="E294" s="64">
        <f>SUM('Data cleaning'!N294+'Data cleaning'!Q294+'Data cleaning'!AB294+'Data cleaning'!Z294)</f>
        <v>647.70000000000005</v>
      </c>
      <c r="F294" s="64">
        <f>SUM('Data cleaning'!R294+'Data cleaning'!S294+'Data cleaning'!T294)</f>
        <v>446.4</v>
      </c>
      <c r="G294" s="76">
        <f>SUM('Data cleaning'!U294+'Data cleaning'!W294)</f>
        <v>307.10000000000002</v>
      </c>
      <c r="H294" s="64">
        <v>154.80000000000001</v>
      </c>
      <c r="I294" s="64">
        <v>141.69999999999999</v>
      </c>
      <c r="J294" s="64">
        <v>157.6</v>
      </c>
      <c r="K294" s="64">
        <v>150</v>
      </c>
      <c r="L294" s="64">
        <v>156.9</v>
      </c>
      <c r="M294" s="64">
        <f>SUM('Data cleaning'!U294+'Data cleaning'!V294+'Data cleaning'!Y294+'Data cleaning'!AC294)</f>
        <v>606.40000000000009</v>
      </c>
    </row>
    <row r="295" spans="1:13">
      <c r="A295" s="64" t="s">
        <v>34</v>
      </c>
      <c r="B295" s="64">
        <v>2021</v>
      </c>
      <c r="C295" s="64" t="s">
        <v>36</v>
      </c>
      <c r="D295" s="64">
        <f>SUM('Data cleaning'!D295+'Data cleaning'!E295+'Data cleaning'!F295+'Data cleaning'!G295+'Data cleaning'!H295+'Data cleaning'!I295+'Data cleaning'!J295+'Data cleaning'!K295+'Data cleaning'!L295+'Data cleaning'!O295+'Data cleaning'!P295+'Data cleaning'!M295)</f>
        <v>1882.8999999999999</v>
      </c>
      <c r="E295" s="64">
        <f>SUM('Data cleaning'!N295+'Data cleaning'!Q295+'Data cleaning'!AB295+'Data cleaning'!Z295)</f>
        <v>651</v>
      </c>
      <c r="F295" s="64">
        <f>SUM('Data cleaning'!R295+'Data cleaning'!S295+'Data cleaning'!T295)</f>
        <v>462.1</v>
      </c>
      <c r="G295" s="76">
        <f>SUM('Data cleaning'!U295+'Data cleaning'!W295)</f>
        <v>311.10000000000002</v>
      </c>
      <c r="H295" s="64">
        <v>155.5</v>
      </c>
      <c r="I295" s="64">
        <v>146.19999999999999</v>
      </c>
      <c r="J295" s="64">
        <v>160.19999999999999</v>
      </c>
      <c r="K295" s="64">
        <v>153.80000000000001</v>
      </c>
      <c r="L295" s="64">
        <v>156.80000000000001</v>
      </c>
      <c r="M295" s="64">
        <f>SUM('Data cleaning'!U295+'Data cleaning'!V295+'Data cleaning'!Y295+'Data cleaning'!AC295)</f>
        <v>615.4</v>
      </c>
    </row>
    <row r="296" spans="1:13">
      <c r="A296" s="64" t="s">
        <v>30</v>
      </c>
      <c r="B296" s="64">
        <v>2021</v>
      </c>
      <c r="C296" s="64" t="s">
        <v>37</v>
      </c>
      <c r="D296" s="64">
        <f>SUM('Data cleaning'!D296+'Data cleaning'!E296+'Data cleaning'!F296+'Data cleaning'!G296+'Data cleaning'!H296+'Data cleaning'!I296+'Data cleaning'!J296+'Data cleaning'!K296+'Data cleaning'!L296+'Data cleaning'!O296+'Data cleaning'!P296+'Data cleaning'!M296)</f>
        <v>1887.6</v>
      </c>
      <c r="E296" s="64">
        <f>SUM('Data cleaning'!N296+'Data cleaning'!Q296+'Data cleaning'!AB296+'Data cleaning'!Z296)</f>
        <v>661.90000000000009</v>
      </c>
      <c r="F296" s="64">
        <f>SUM('Data cleaning'!R296+'Data cleaning'!S296+'Data cleaning'!T296)</f>
        <v>475.69999999999993</v>
      </c>
      <c r="G296" s="76">
        <f>SUM('Data cleaning'!U296+'Data cleaning'!W296)</f>
        <v>317.10000000000002</v>
      </c>
      <c r="H296" s="64">
        <v>156</v>
      </c>
      <c r="I296" s="64">
        <v>151.69999999999999</v>
      </c>
      <c r="J296" s="64">
        <v>164.1</v>
      </c>
      <c r="K296" s="64">
        <v>158</v>
      </c>
      <c r="L296" s="64">
        <v>157.6</v>
      </c>
      <c r="M296" s="64">
        <f>SUM('Data cleaning'!U296+'Data cleaning'!V296+'Data cleaning'!Y296+'Data cleaning'!AC296)</f>
        <v>627.29999999999995</v>
      </c>
    </row>
    <row r="297" spans="1:13">
      <c r="A297" s="64" t="s">
        <v>33</v>
      </c>
      <c r="B297" s="64">
        <v>2021</v>
      </c>
      <c r="C297" s="64" t="s">
        <v>37</v>
      </c>
      <c r="D297" s="64">
        <f>SUM('Data cleaning'!D297+'Data cleaning'!E297+'Data cleaning'!F297+'Data cleaning'!G297+'Data cleaning'!H297+'Data cleaning'!I297+'Data cleaning'!J297+'Data cleaning'!K297+'Data cleaning'!L297+'Data cleaning'!O297+'Data cleaning'!P297+'Data cleaning'!M297)</f>
        <v>1938.1</v>
      </c>
      <c r="E297" s="64">
        <f>SUM('Data cleaning'!N297+'Data cleaning'!Q297+'Data cleaning'!AB297+'Data cleaning'!Z297)</f>
        <v>651.6</v>
      </c>
      <c r="F297" s="64">
        <f>SUM('Data cleaning'!R297+'Data cleaning'!S297+'Data cleaning'!T297)</f>
        <v>448.6</v>
      </c>
      <c r="G297" s="76">
        <f>SUM('Data cleaning'!U297+'Data cleaning'!W297)</f>
        <v>309</v>
      </c>
      <c r="H297" s="64">
        <v>154.9</v>
      </c>
      <c r="I297" s="64">
        <v>142.1</v>
      </c>
      <c r="J297" s="64">
        <v>157.6</v>
      </c>
      <c r="K297" s="64">
        <v>150.5</v>
      </c>
      <c r="L297" s="64">
        <v>158</v>
      </c>
      <c r="M297" s="64">
        <f>SUM('Data cleaning'!U297+'Data cleaning'!V297+'Data cleaning'!Y297+'Data cleaning'!AC297)</f>
        <v>608.9</v>
      </c>
    </row>
    <row r="298" spans="1:13">
      <c r="A298" s="64" t="s">
        <v>34</v>
      </c>
      <c r="B298" s="64">
        <v>2021</v>
      </c>
      <c r="C298" s="64" t="s">
        <v>37</v>
      </c>
      <c r="D298" s="64">
        <f>SUM('Data cleaning'!D298+'Data cleaning'!E298+'Data cleaning'!F298+'Data cleaning'!G298+'Data cleaning'!H298+'Data cleaning'!I298+'Data cleaning'!J298+'Data cleaning'!K298+'Data cleaning'!L298+'Data cleaning'!O298+'Data cleaning'!P298+'Data cleaning'!M298)</f>
        <v>1906.5</v>
      </c>
      <c r="E298" s="64">
        <f>SUM('Data cleaning'!N298+'Data cleaning'!Q298+'Data cleaning'!AB298+'Data cleaning'!Z298)</f>
        <v>655</v>
      </c>
      <c r="F298" s="64">
        <f>SUM('Data cleaning'!R298+'Data cleaning'!S298+'Data cleaning'!T298)</f>
        <v>464.6</v>
      </c>
      <c r="G298" s="76">
        <f>SUM('Data cleaning'!U298+'Data cleaning'!W298)</f>
        <v>313.20000000000005</v>
      </c>
      <c r="H298" s="64">
        <v>155.6</v>
      </c>
      <c r="I298" s="64">
        <v>146.6</v>
      </c>
      <c r="J298" s="64">
        <v>160.30000000000001</v>
      </c>
      <c r="K298" s="64">
        <v>154.4</v>
      </c>
      <c r="L298" s="64">
        <v>157.80000000000001</v>
      </c>
      <c r="M298" s="64">
        <f>SUM('Data cleaning'!U298+'Data cleaning'!V298+'Data cleaning'!Y298+'Data cleaning'!AC298)</f>
        <v>618</v>
      </c>
    </row>
    <row r="299" spans="1:13">
      <c r="A299" s="64" t="s">
        <v>30</v>
      </c>
      <c r="B299" s="64">
        <v>2021</v>
      </c>
      <c r="C299" s="64" t="s">
        <v>38</v>
      </c>
      <c r="D299" s="64">
        <f>SUM('Data cleaning'!D299+'Data cleaning'!E299+'Data cleaning'!F299+'Data cleaning'!G299+'Data cleaning'!H299+'Data cleaning'!I299+'Data cleaning'!J299+'Data cleaning'!K299+'Data cleaning'!L299+'Data cleaning'!O299+'Data cleaning'!P299+'Data cleaning'!M299)</f>
        <v>1930.7</v>
      </c>
      <c r="E299" s="64">
        <f>SUM('Data cleaning'!N299+'Data cleaning'!Q299+'Data cleaning'!AB299+'Data cleaning'!Z299)</f>
        <v>673.5</v>
      </c>
      <c r="F299" s="64">
        <f>SUM('Data cleaning'!R299+'Data cleaning'!S299+'Data cleaning'!T299)</f>
        <v>490.4</v>
      </c>
      <c r="G299" s="76">
        <f>SUM('Data cleaning'!U299+'Data cleaning'!W299)</f>
        <v>319.3</v>
      </c>
      <c r="H299" s="64">
        <v>161.69999999999999</v>
      </c>
      <c r="I299" s="64">
        <v>153.19999999999999</v>
      </c>
      <c r="J299" s="64">
        <v>167.6</v>
      </c>
      <c r="K299" s="64">
        <v>161.1</v>
      </c>
      <c r="L299" s="64">
        <v>161.1</v>
      </c>
      <c r="M299" s="64">
        <f>SUM('Data cleaning'!U299+'Data cleaning'!V299+'Data cleaning'!Y299+'Data cleaning'!AC299)</f>
        <v>636.5</v>
      </c>
    </row>
    <row r="300" spans="1:13">
      <c r="A300" s="64" t="s">
        <v>33</v>
      </c>
      <c r="B300" s="64">
        <v>2021</v>
      </c>
      <c r="C300" s="64" t="s">
        <v>38</v>
      </c>
      <c r="D300" s="64">
        <f>SUM('Data cleaning'!D300+'Data cleaning'!E300+'Data cleaning'!F300+'Data cleaning'!G300+'Data cleaning'!H300+'Data cleaning'!I300+'Data cleaning'!J300+'Data cleaning'!K300+'Data cleaning'!L300+'Data cleaning'!O300+'Data cleaning'!P300+'Data cleaning'!M300)</f>
        <v>1972.7000000000003</v>
      </c>
      <c r="E300" s="64">
        <f>SUM('Data cleaning'!N300+'Data cleaning'!Q300+'Data cleaning'!AB300+'Data cleaning'!Z300)</f>
        <v>660.3</v>
      </c>
      <c r="F300" s="64">
        <f>SUM('Data cleaning'!R300+'Data cleaning'!S300+'Data cleaning'!T300)</f>
        <v>450.79999999999995</v>
      </c>
      <c r="G300" s="76">
        <f>SUM('Data cleaning'!U300+'Data cleaning'!W300)</f>
        <v>311.7</v>
      </c>
      <c r="H300" s="64">
        <v>155.5</v>
      </c>
      <c r="I300" s="64">
        <v>145</v>
      </c>
      <c r="J300" s="64">
        <v>156.6</v>
      </c>
      <c r="K300" s="64">
        <v>152.30000000000001</v>
      </c>
      <c r="L300" s="64">
        <v>159.5</v>
      </c>
      <c r="M300" s="64">
        <f>SUM('Data cleaning'!U300+'Data cleaning'!V300+'Data cleaning'!Y300+'Data cleaning'!AC300)</f>
        <v>614.40000000000009</v>
      </c>
    </row>
    <row r="301" spans="1:13">
      <c r="A301" s="64" t="s">
        <v>34</v>
      </c>
      <c r="B301" s="64">
        <v>2021</v>
      </c>
      <c r="C301" s="64" t="s">
        <v>38</v>
      </c>
      <c r="D301" s="64">
        <f>SUM('Data cleaning'!D301+'Data cleaning'!E301+'Data cleaning'!F301+'Data cleaning'!G301+'Data cleaning'!H301+'Data cleaning'!I301+'Data cleaning'!J301+'Data cleaning'!K301+'Data cleaning'!L301+'Data cleaning'!O301+'Data cleaning'!P301+'Data cleaning'!M301)</f>
        <v>1946.4000000000003</v>
      </c>
      <c r="E301" s="64">
        <f>SUM('Data cleaning'!N301+'Data cleaning'!Q301+'Data cleaning'!AB301+'Data cleaning'!Z301)</f>
        <v>665.60000000000014</v>
      </c>
      <c r="F301" s="64">
        <f>SUM('Data cleaning'!R301+'Data cleaning'!S301+'Data cleaning'!T301)</f>
        <v>474.29999999999995</v>
      </c>
      <c r="G301" s="76">
        <f>SUM('Data cleaning'!U301+'Data cleaning'!W301)</f>
        <v>316.29999999999995</v>
      </c>
      <c r="H301" s="64">
        <v>159.4</v>
      </c>
      <c r="I301" s="64">
        <v>148.9</v>
      </c>
      <c r="J301" s="64">
        <v>161.19999999999999</v>
      </c>
      <c r="K301" s="64">
        <v>156.80000000000001</v>
      </c>
      <c r="L301" s="64">
        <v>160.4</v>
      </c>
      <c r="M301" s="64">
        <f>SUM('Data cleaning'!U301+'Data cleaning'!V301+'Data cleaning'!Y301+'Data cleaning'!AC301)</f>
        <v>626.70000000000005</v>
      </c>
    </row>
    <row r="302" spans="1:13">
      <c r="A302" s="64" t="s">
        <v>30</v>
      </c>
      <c r="B302" s="64">
        <v>2021</v>
      </c>
      <c r="C302" s="64" t="s">
        <v>39</v>
      </c>
      <c r="D302" s="64">
        <f>SUM('Data cleaning'!D302+'Data cleaning'!E302+'Data cleaning'!F302+'Data cleaning'!G302+'Data cleaning'!H302+'Data cleaning'!I302+'Data cleaning'!J302+'Data cleaning'!K302+'Data cleaning'!L302+'Data cleaning'!O302+'Data cleaning'!P302+'Data cleaning'!M302)</f>
        <v>1957.1</v>
      </c>
      <c r="E302" s="64">
        <f>SUM('Data cleaning'!N302+'Data cleaning'!Q302+'Data cleaning'!AB302+'Data cleaning'!Z302)</f>
        <v>674.4</v>
      </c>
      <c r="F302" s="64">
        <f>SUM('Data cleaning'!R302+'Data cleaning'!S302+'Data cleaning'!T302)</f>
        <v>489.80000000000007</v>
      </c>
      <c r="G302" s="76">
        <f>SUM('Data cleaning'!U302+'Data cleaning'!W302)</f>
        <v>320.7</v>
      </c>
      <c r="H302" s="64">
        <v>162.1</v>
      </c>
      <c r="I302" s="64">
        <v>154.19999999999999</v>
      </c>
      <c r="J302" s="64">
        <v>166.8</v>
      </c>
      <c r="K302" s="64">
        <v>161.5</v>
      </c>
      <c r="L302" s="64">
        <v>162.1</v>
      </c>
      <c r="M302" s="64">
        <f>SUM('Data cleaning'!U302+'Data cleaning'!V302+'Data cleaning'!Y302+'Data cleaning'!AC302)</f>
        <v>639.29999999999995</v>
      </c>
    </row>
    <row r="303" spans="1:13">
      <c r="A303" s="64" t="s">
        <v>33</v>
      </c>
      <c r="B303" s="64">
        <v>2021</v>
      </c>
      <c r="C303" s="64" t="s">
        <v>39</v>
      </c>
      <c r="D303" s="64">
        <f>SUM('Data cleaning'!D303+'Data cleaning'!E303+'Data cleaning'!F303+'Data cleaning'!G303+'Data cleaning'!H303+'Data cleaning'!I303+'Data cleaning'!J303+'Data cleaning'!K303+'Data cleaning'!L303+'Data cleaning'!O303+'Data cleaning'!P303+'Data cleaning'!M303)</f>
        <v>2001.9</v>
      </c>
      <c r="E303" s="64">
        <f>SUM('Data cleaning'!N303+'Data cleaning'!Q303+'Data cleaning'!AB303+'Data cleaning'!Z303)</f>
        <v>656.59999999999991</v>
      </c>
      <c r="F303" s="64">
        <f>SUM('Data cleaning'!R303+'Data cleaning'!S303+'Data cleaning'!T303)</f>
        <v>452.6</v>
      </c>
      <c r="G303" s="76">
        <f>SUM('Data cleaning'!U303+'Data cleaning'!W303)</f>
        <v>310.3</v>
      </c>
      <c r="H303" s="64">
        <v>156.1</v>
      </c>
      <c r="I303" s="64">
        <v>147.5</v>
      </c>
      <c r="J303" s="64">
        <v>158.1</v>
      </c>
      <c r="K303" s="64">
        <v>153.4</v>
      </c>
      <c r="L303" s="64">
        <v>160.4</v>
      </c>
      <c r="M303" s="64">
        <f>SUM('Data cleaning'!U303+'Data cleaning'!V303+'Data cleaning'!Y303+'Data cleaning'!AC303)</f>
        <v>617.5</v>
      </c>
    </row>
    <row r="304" spans="1:13">
      <c r="A304" s="64" t="s">
        <v>34</v>
      </c>
      <c r="B304" s="64">
        <v>2021</v>
      </c>
      <c r="C304" s="64" t="s">
        <v>39</v>
      </c>
      <c r="D304" s="64">
        <f>SUM('Data cleaning'!D304+'Data cleaning'!E304+'Data cleaning'!F304+'Data cleaning'!G304+'Data cleaning'!H304+'Data cleaning'!I304+'Data cleaning'!J304+'Data cleaning'!K304+'Data cleaning'!L304+'Data cleaning'!O304+'Data cleaning'!P304+'Data cleaning'!M304)</f>
        <v>1973.8999999999999</v>
      </c>
      <c r="E304" s="64">
        <f>SUM('Data cleaning'!N304+'Data cleaning'!Q304+'Data cleaning'!AB304+'Data cleaning'!Z304)</f>
        <v>664.5</v>
      </c>
      <c r="F304" s="64">
        <f>SUM('Data cleaning'!R304+'Data cleaning'!S304+'Data cleaning'!T304)</f>
        <v>474.7</v>
      </c>
      <c r="G304" s="76">
        <f>SUM('Data cleaning'!U304+'Data cleaning'!W304)</f>
        <v>315.3</v>
      </c>
      <c r="H304" s="64">
        <v>159.80000000000001</v>
      </c>
      <c r="I304" s="64">
        <v>150.69999999999999</v>
      </c>
      <c r="J304" s="64">
        <v>161.69999999999999</v>
      </c>
      <c r="K304" s="64">
        <v>157.6</v>
      </c>
      <c r="L304" s="64">
        <v>161.30000000000001</v>
      </c>
      <c r="M304" s="64">
        <f>SUM('Data cleaning'!U304+'Data cleaning'!V304+'Data cleaning'!Y304+'Data cleaning'!AC304)</f>
        <v>628.6</v>
      </c>
    </row>
    <row r="305" spans="1:13">
      <c r="A305" s="64" t="s">
        <v>30</v>
      </c>
      <c r="B305" s="64">
        <v>2021</v>
      </c>
      <c r="C305" s="64" t="s">
        <v>40</v>
      </c>
      <c r="D305" s="64">
        <f>SUM('Data cleaning'!D305+'Data cleaning'!E305+'Data cleaning'!F305+'Data cleaning'!G305+'Data cleaning'!H305+'Data cleaning'!I305+'Data cleaning'!J305+'Data cleaning'!K305+'Data cleaning'!L305+'Data cleaning'!O305+'Data cleaning'!P305+'Data cleaning'!M305)</f>
        <v>1966.2</v>
      </c>
      <c r="E305" s="64">
        <f>SUM('Data cleaning'!N305+'Data cleaning'!Q305+'Data cleaning'!AB305+'Data cleaning'!Z305)</f>
        <v>677</v>
      </c>
      <c r="F305" s="64">
        <f>SUM('Data cleaning'!R305+'Data cleaning'!S305+'Data cleaning'!T305)</f>
        <v>492.40000000000003</v>
      </c>
      <c r="G305" s="76">
        <f>SUM('Data cleaning'!U305+'Data cleaning'!W305)</f>
        <v>322.39999999999998</v>
      </c>
      <c r="H305" s="64">
        <v>162.5</v>
      </c>
      <c r="I305" s="64">
        <v>157.1</v>
      </c>
      <c r="J305" s="64">
        <v>167.2</v>
      </c>
      <c r="K305" s="64">
        <v>162.80000000000001</v>
      </c>
      <c r="L305" s="64">
        <v>163.19999999999999</v>
      </c>
      <c r="M305" s="64">
        <f>SUM('Data cleaning'!U305+'Data cleaning'!V305+'Data cleaning'!Y305+'Data cleaning'!AC305)</f>
        <v>644.5</v>
      </c>
    </row>
    <row r="306" spans="1:13">
      <c r="A306" s="64" t="s">
        <v>33</v>
      </c>
      <c r="B306" s="64">
        <v>2021</v>
      </c>
      <c r="C306" s="64" t="s">
        <v>40</v>
      </c>
      <c r="D306" s="64">
        <f>SUM('Data cleaning'!D306+'Data cleaning'!E306+'Data cleaning'!F306+'Data cleaning'!G306+'Data cleaning'!H306+'Data cleaning'!I306+'Data cleaning'!J306+'Data cleaning'!K306+'Data cleaning'!L306+'Data cleaning'!O306+'Data cleaning'!P306+'Data cleaning'!M306)</f>
        <v>2018.4000000000003</v>
      </c>
      <c r="E306" s="64">
        <f>SUM('Data cleaning'!N306+'Data cleaning'!Q306+'Data cleaning'!AB306+'Data cleaning'!Z306)</f>
        <v>659.7</v>
      </c>
      <c r="F306" s="64">
        <f>SUM('Data cleaning'!R306+'Data cleaning'!S306+'Data cleaning'!T306)</f>
        <v>455.3</v>
      </c>
      <c r="G306" s="76">
        <f>SUM('Data cleaning'!U306+'Data cleaning'!W306)</f>
        <v>312.2</v>
      </c>
      <c r="H306" s="64">
        <v>157.69999999999999</v>
      </c>
      <c r="I306" s="64">
        <v>149.5</v>
      </c>
      <c r="J306" s="64">
        <v>160.30000000000001</v>
      </c>
      <c r="K306" s="64">
        <v>155</v>
      </c>
      <c r="L306" s="64">
        <v>161.80000000000001</v>
      </c>
      <c r="M306" s="64">
        <f>SUM('Data cleaning'!U306+'Data cleaning'!V306+'Data cleaning'!Y306+'Data cleaning'!AC306)</f>
        <v>623.70000000000005</v>
      </c>
    </row>
    <row r="307" spans="1:13">
      <c r="A307" s="64" t="s">
        <v>34</v>
      </c>
      <c r="B307" s="64">
        <v>2021</v>
      </c>
      <c r="C307" s="64" t="s">
        <v>40</v>
      </c>
      <c r="D307" s="64">
        <f>SUM('Data cleaning'!D307+'Data cleaning'!E307+'Data cleaning'!F307+'Data cleaning'!G307+'Data cleaning'!H307+'Data cleaning'!I307+'Data cleaning'!J307+'Data cleaning'!K307+'Data cleaning'!L307+'Data cleaning'!O307+'Data cleaning'!P307+'Data cleaning'!M307)</f>
        <v>1986.1000000000001</v>
      </c>
      <c r="E307" s="64">
        <f>SUM('Data cleaning'!N307+'Data cleaning'!Q307+'Data cleaning'!AB307+'Data cleaning'!Z307)</f>
        <v>667.5</v>
      </c>
      <c r="F307" s="64">
        <f>SUM('Data cleaning'!R307+'Data cleaning'!S307+'Data cleaning'!T307)</f>
        <v>477.29999999999995</v>
      </c>
      <c r="G307" s="76">
        <f>SUM('Data cleaning'!U307+'Data cleaning'!W307)</f>
        <v>317.3</v>
      </c>
      <c r="H307" s="64">
        <v>160.69999999999999</v>
      </c>
      <c r="I307" s="64">
        <v>153.1</v>
      </c>
      <c r="J307" s="64">
        <v>163.19999999999999</v>
      </c>
      <c r="K307" s="64">
        <v>159</v>
      </c>
      <c r="L307" s="64">
        <v>162.5</v>
      </c>
      <c r="M307" s="64">
        <f>SUM('Data cleaning'!U307+'Data cleaning'!V307+'Data cleaning'!Y307+'Data cleaning'!AC307)</f>
        <v>634.29999999999995</v>
      </c>
    </row>
    <row r="308" spans="1:13">
      <c r="A308" s="64" t="s">
        <v>30</v>
      </c>
      <c r="B308" s="64">
        <v>2021</v>
      </c>
      <c r="C308" s="64" t="s">
        <v>41</v>
      </c>
      <c r="D308" s="64">
        <f>SUM('Data cleaning'!D308+'Data cleaning'!E308+'Data cleaning'!F308+'Data cleaning'!G308+'Data cleaning'!H308+'Data cleaning'!I308+'Data cleaning'!J308+'Data cleaning'!K308+'Data cleaning'!L308+'Data cleaning'!O308+'Data cleaning'!P308+'Data cleaning'!M308)</f>
        <v>1963.2</v>
      </c>
      <c r="E308" s="64">
        <f>SUM('Data cleaning'!N308+'Data cleaning'!Q308+'Data cleaning'!AB308+'Data cleaning'!Z308)</f>
        <v>679.19999999999993</v>
      </c>
      <c r="F308" s="64">
        <f>SUM('Data cleaning'!R308+'Data cleaning'!S308+'Data cleaning'!T308)</f>
        <v>495.90000000000003</v>
      </c>
      <c r="G308" s="76">
        <f>SUM('Data cleaning'!U308+'Data cleaning'!W308)</f>
        <v>323</v>
      </c>
      <c r="H308" s="64">
        <v>163.1</v>
      </c>
      <c r="I308" s="64">
        <v>157.69999999999999</v>
      </c>
      <c r="J308" s="64">
        <v>167.5</v>
      </c>
      <c r="K308" s="64">
        <v>163.30000000000001</v>
      </c>
      <c r="L308" s="64">
        <v>163.6</v>
      </c>
      <c r="M308" s="64">
        <f>SUM('Data cleaning'!U308+'Data cleaning'!V308+'Data cleaning'!Y308+'Data cleaning'!AC308)</f>
        <v>646.20000000000005</v>
      </c>
    </row>
    <row r="309" spans="1:13">
      <c r="A309" s="64" t="s">
        <v>33</v>
      </c>
      <c r="B309" s="64">
        <v>2021</v>
      </c>
      <c r="C309" s="64" t="s">
        <v>41</v>
      </c>
      <c r="D309" s="64">
        <f>SUM('Data cleaning'!D309+'Data cleaning'!E309+'Data cleaning'!F309+'Data cleaning'!G309+'Data cleaning'!H309+'Data cleaning'!I309+'Data cleaning'!J309+'Data cleaning'!K309+'Data cleaning'!L309+'Data cleaning'!O309+'Data cleaning'!P309+'Data cleaning'!M309)</f>
        <v>2003.1</v>
      </c>
      <c r="E309" s="64">
        <f>SUM('Data cleaning'!N309+'Data cleaning'!Q309+'Data cleaning'!AB309+'Data cleaning'!Z309)</f>
        <v>664.59999999999991</v>
      </c>
      <c r="F309" s="64">
        <f>SUM('Data cleaning'!R309+'Data cleaning'!S309+'Data cleaning'!T309)</f>
        <v>460.7</v>
      </c>
      <c r="G309" s="76">
        <f>SUM('Data cleaning'!U309+'Data cleaning'!W309)</f>
        <v>315.29999999999995</v>
      </c>
      <c r="H309" s="64">
        <v>160.69999999999999</v>
      </c>
      <c r="I309" s="64">
        <v>150.4</v>
      </c>
      <c r="J309" s="64">
        <v>160.4</v>
      </c>
      <c r="K309" s="64">
        <v>156</v>
      </c>
      <c r="L309" s="64">
        <v>162.30000000000001</v>
      </c>
      <c r="M309" s="64">
        <f>SUM('Data cleaning'!U309+'Data cleaning'!V309+'Data cleaning'!Y309+'Data cleaning'!AC309)</f>
        <v>629.19999999999993</v>
      </c>
    </row>
    <row r="310" spans="1:13">
      <c r="A310" s="64" t="s">
        <v>34</v>
      </c>
      <c r="B310" s="64">
        <v>2021</v>
      </c>
      <c r="C310" s="64" t="s">
        <v>41</v>
      </c>
      <c r="D310" s="64">
        <f>SUM('Data cleaning'!D310+'Data cleaning'!E310+'Data cleaning'!F310+'Data cleaning'!G310+'Data cleaning'!H310+'Data cleaning'!I310+'Data cleaning'!J310+'Data cleaning'!K310+'Data cleaning'!L310+'Data cleaning'!O310+'Data cleaning'!P310+'Data cleaning'!M310)</f>
        <v>1979.3000000000002</v>
      </c>
      <c r="E310" s="64">
        <f>SUM('Data cleaning'!N310+'Data cleaning'!Q310+'Data cleaning'!AB310+'Data cleaning'!Z310)</f>
        <v>672.4</v>
      </c>
      <c r="F310" s="64">
        <f>SUM('Data cleaning'!R310+'Data cleaning'!S310+'Data cleaning'!T310)</f>
        <v>483</v>
      </c>
      <c r="G310" s="76">
        <f>SUM('Data cleaning'!U310+'Data cleaning'!W310)</f>
        <v>319.60000000000002</v>
      </c>
      <c r="H310" s="64">
        <v>162.6</v>
      </c>
      <c r="I310" s="64">
        <v>154</v>
      </c>
      <c r="J310" s="64">
        <v>163.80000000000001</v>
      </c>
      <c r="K310" s="64">
        <v>160</v>
      </c>
      <c r="L310" s="64">
        <v>163.19999999999999</v>
      </c>
      <c r="M310" s="64">
        <f>SUM('Data cleaning'!U310+'Data cleaning'!V310+'Data cleaning'!Y310+'Data cleaning'!AC310)</f>
        <v>638.70000000000005</v>
      </c>
    </row>
    <row r="311" spans="1:13">
      <c r="A311" s="64" t="s">
        <v>30</v>
      </c>
      <c r="B311" s="64">
        <v>2021</v>
      </c>
      <c r="C311" s="64" t="s">
        <v>42</v>
      </c>
      <c r="D311" s="64">
        <f>SUM('Data cleaning'!D311+'Data cleaning'!E311+'Data cleaning'!F311+'Data cleaning'!G311+'Data cleaning'!H311+'Data cleaning'!I311+'Data cleaning'!J311+'Data cleaning'!K311+'Data cleaning'!L311+'Data cleaning'!O311+'Data cleaning'!P311+'Data cleaning'!M311)</f>
        <v>1965.3</v>
      </c>
      <c r="E311" s="64">
        <f>SUM('Data cleaning'!N311+'Data cleaning'!Q311+'Data cleaning'!AB311+'Data cleaning'!Z311)</f>
        <v>681.7</v>
      </c>
      <c r="F311" s="64">
        <f>SUM('Data cleaning'!R311+'Data cleaning'!S311+'Data cleaning'!T311)</f>
        <v>498.4</v>
      </c>
      <c r="G311" s="76">
        <f>SUM('Data cleaning'!U311+'Data cleaning'!W311)</f>
        <v>324.89999999999998</v>
      </c>
      <c r="H311" s="64">
        <v>163.69999999999999</v>
      </c>
      <c r="I311" s="64">
        <v>157.80000000000001</v>
      </c>
      <c r="J311" s="64">
        <v>168.5</v>
      </c>
      <c r="K311" s="64">
        <v>163.80000000000001</v>
      </c>
      <c r="L311" s="64">
        <v>164</v>
      </c>
      <c r="M311" s="64">
        <f>SUM('Data cleaning'!U311+'Data cleaning'!V311+'Data cleaning'!Y311+'Data cleaning'!AC311)</f>
        <v>648.9</v>
      </c>
    </row>
    <row r="312" spans="1:13">
      <c r="A312" s="64" t="s">
        <v>33</v>
      </c>
      <c r="B312" s="64">
        <v>2021</v>
      </c>
      <c r="C312" s="64" t="s">
        <v>42</v>
      </c>
      <c r="D312" s="64">
        <f>SUM('Data cleaning'!D312+'Data cleaning'!E312+'Data cleaning'!F312+'Data cleaning'!G312+'Data cleaning'!H312+'Data cleaning'!I312+'Data cleaning'!J312+'Data cleaning'!K312+'Data cleaning'!L312+'Data cleaning'!O312+'Data cleaning'!P312+'Data cleaning'!M312)</f>
        <v>2003.1000000000001</v>
      </c>
      <c r="E312" s="64">
        <f>SUM('Data cleaning'!N312+'Data cleaning'!Q312+'Data cleaning'!AB312+'Data cleaning'!Z312)</f>
        <v>664.8</v>
      </c>
      <c r="F312" s="64">
        <f>SUM('Data cleaning'!R312+'Data cleaning'!S312+'Data cleaning'!T312)</f>
        <v>460.79999999999995</v>
      </c>
      <c r="G312" s="76">
        <f>SUM('Data cleaning'!U312+'Data cleaning'!W312)</f>
        <v>315.39999999999998</v>
      </c>
      <c r="H312" s="64">
        <v>160.80000000000001</v>
      </c>
      <c r="I312" s="64">
        <v>150.5</v>
      </c>
      <c r="J312" s="64">
        <v>160.30000000000001</v>
      </c>
      <c r="K312" s="64">
        <v>156</v>
      </c>
      <c r="L312" s="64">
        <v>162.30000000000001</v>
      </c>
      <c r="M312" s="64">
        <f>SUM('Data cleaning'!U312+'Data cleaning'!V312+'Data cleaning'!Y312+'Data cleaning'!AC312)</f>
        <v>629.4</v>
      </c>
    </row>
    <row r="313" spans="1:13">
      <c r="A313" s="64" t="s">
        <v>34</v>
      </c>
      <c r="B313" s="64">
        <v>2021</v>
      </c>
      <c r="C313" s="64" t="s">
        <v>42</v>
      </c>
      <c r="D313" s="64">
        <f>SUM('Data cleaning'!D313+'Data cleaning'!E313+'Data cleaning'!F313+'Data cleaning'!G313+'Data cleaning'!H313+'Data cleaning'!I313+'Data cleaning'!J313+'Data cleaning'!K313+'Data cleaning'!L313+'Data cleaning'!O313+'Data cleaning'!P313+'Data cleaning'!M313)</f>
        <v>1979.3</v>
      </c>
      <c r="E313" s="64">
        <f>SUM('Data cleaning'!N313+'Data cleaning'!Q313+'Data cleaning'!AB313+'Data cleaning'!Z313)</f>
        <v>672.5</v>
      </c>
      <c r="F313" s="64">
        <f>SUM('Data cleaning'!R313+'Data cleaning'!S313+'Data cleaning'!T313)</f>
        <v>483.2</v>
      </c>
      <c r="G313" s="76">
        <f>SUM('Data cleaning'!U313+'Data cleaning'!W313)</f>
        <v>319.60000000000002</v>
      </c>
      <c r="H313" s="64">
        <v>162.6</v>
      </c>
      <c r="I313" s="64">
        <v>154</v>
      </c>
      <c r="J313" s="64">
        <v>163.69999999999999</v>
      </c>
      <c r="K313" s="64">
        <v>160</v>
      </c>
      <c r="L313" s="64">
        <v>163.19999999999999</v>
      </c>
      <c r="M313" s="64">
        <f>SUM('Data cleaning'!U313+'Data cleaning'!V313+'Data cleaning'!Y313+'Data cleaning'!AC313)</f>
        <v>638.70000000000005</v>
      </c>
    </row>
    <row r="314" spans="1:13">
      <c r="A314" s="64" t="s">
        <v>30</v>
      </c>
      <c r="B314" s="64">
        <v>2021</v>
      </c>
      <c r="C314" s="64" t="s">
        <v>43</v>
      </c>
      <c r="D314" s="64">
        <f>SUM('Data cleaning'!D314+'Data cleaning'!E314+'Data cleaning'!F314+'Data cleaning'!G314+'Data cleaning'!H314+'Data cleaning'!I314+'Data cleaning'!J314+'Data cleaning'!K314+'Data cleaning'!L314+'Data cleaning'!O314+'Data cleaning'!P314+'Data cleaning'!M314)</f>
        <v>1995.3999999999999</v>
      </c>
      <c r="E314" s="64">
        <f>SUM('Data cleaning'!N314+'Data cleaning'!Q314+'Data cleaning'!AB314+'Data cleaning'!Z314)</f>
        <v>684.3</v>
      </c>
      <c r="F314" s="64">
        <f>SUM('Data cleaning'!R314+'Data cleaning'!S314+'Data cleaning'!T314)</f>
        <v>502.00000000000006</v>
      </c>
      <c r="G314" s="76">
        <f>SUM('Data cleaning'!U314+'Data cleaning'!W314)</f>
        <v>326.2</v>
      </c>
      <c r="H314" s="64">
        <v>165.5</v>
      </c>
      <c r="I314" s="64">
        <v>159.5</v>
      </c>
      <c r="J314" s="64">
        <v>169</v>
      </c>
      <c r="K314" s="64">
        <v>164.7</v>
      </c>
      <c r="L314" s="64">
        <v>166.3</v>
      </c>
      <c r="M314" s="64">
        <f>SUM('Data cleaning'!U314+'Data cleaning'!V314+'Data cleaning'!Y314+'Data cleaning'!AC314)</f>
        <v>653.9</v>
      </c>
    </row>
    <row r="315" spans="1:13">
      <c r="A315" s="64" t="s">
        <v>33</v>
      </c>
      <c r="B315" s="64">
        <v>2021</v>
      </c>
      <c r="C315" s="64" t="s">
        <v>43</v>
      </c>
      <c r="D315" s="64">
        <f>SUM('Data cleaning'!D315+'Data cleaning'!E315+'Data cleaning'!F315+'Data cleaning'!G315+'Data cleaning'!H315+'Data cleaning'!I315+'Data cleaning'!J315+'Data cleaning'!K315+'Data cleaning'!L315+'Data cleaning'!O315+'Data cleaning'!P315+'Data cleaning'!M315)</f>
        <v>2043.0000000000002</v>
      </c>
      <c r="E315" s="64">
        <f>SUM('Data cleaning'!N315+'Data cleaning'!Q315+'Data cleaning'!AB315+'Data cleaning'!Z315)</f>
        <v>667.80000000000007</v>
      </c>
      <c r="F315" s="64">
        <f>SUM('Data cleaning'!R315+'Data cleaning'!S315+'Data cleaning'!T315)</f>
        <v>463.50000000000006</v>
      </c>
      <c r="G315" s="76">
        <f>SUM('Data cleaning'!U315+'Data cleaning'!W315)</f>
        <v>317.89999999999998</v>
      </c>
      <c r="H315" s="64">
        <v>162.19999999999999</v>
      </c>
      <c r="I315" s="64">
        <v>152.19999999999999</v>
      </c>
      <c r="J315" s="64">
        <v>160.30000000000001</v>
      </c>
      <c r="K315" s="64">
        <v>157</v>
      </c>
      <c r="L315" s="64">
        <v>164.6</v>
      </c>
      <c r="M315" s="64">
        <f>SUM('Data cleaning'!U315+'Data cleaning'!V315+'Data cleaning'!Y315+'Data cleaning'!AC315)</f>
        <v>635</v>
      </c>
    </row>
    <row r="316" spans="1:13">
      <c r="A316" s="64" t="s">
        <v>34</v>
      </c>
      <c r="B316" s="64">
        <v>2021</v>
      </c>
      <c r="C316" s="64" t="s">
        <v>43</v>
      </c>
      <c r="D316" s="64">
        <f>SUM('Data cleaning'!D316+'Data cleaning'!E316+'Data cleaning'!F316+'Data cleaning'!G316+'Data cleaning'!H316+'Data cleaning'!I316+'Data cleaning'!J316+'Data cleaning'!K316+'Data cleaning'!L316+'Data cleaning'!O316+'Data cleaning'!P316+'Data cleaning'!M316)</f>
        <v>2012.3000000000002</v>
      </c>
      <c r="E316" s="64">
        <f>SUM('Data cleaning'!N316+'Data cleaning'!Q316+'Data cleaning'!AB316+'Data cleaning'!Z316)</f>
        <v>675.30000000000007</v>
      </c>
      <c r="F316" s="64">
        <f>SUM('Data cleaning'!R316+'Data cleaning'!S316+'Data cleaning'!T316)</f>
        <v>486.3</v>
      </c>
      <c r="G316" s="76">
        <f>SUM('Data cleaning'!U316+'Data cleaning'!W316)</f>
        <v>322</v>
      </c>
      <c r="H316" s="64">
        <v>164.2</v>
      </c>
      <c r="I316" s="64">
        <v>155.69999999999999</v>
      </c>
      <c r="J316" s="64">
        <v>163.9</v>
      </c>
      <c r="K316" s="64">
        <v>161</v>
      </c>
      <c r="L316" s="64">
        <v>165.5</v>
      </c>
      <c r="M316" s="64">
        <f>SUM('Data cleaning'!U316+'Data cleaning'!V316+'Data cleaning'!Y316+'Data cleaning'!AC316)</f>
        <v>644.5</v>
      </c>
    </row>
    <row r="317" spans="1:13">
      <c r="A317" s="64" t="s">
        <v>30</v>
      </c>
      <c r="B317" s="64">
        <v>2021</v>
      </c>
      <c r="C317" s="64" t="s">
        <v>45</v>
      </c>
      <c r="D317" s="64">
        <f>SUM('Data cleaning'!D317+'Data cleaning'!E317+'Data cleaning'!F317+'Data cleaning'!G317+'Data cleaning'!H317+'Data cleaning'!I317+'Data cleaning'!J317+'Data cleaning'!K317+'Data cleaning'!L317+'Data cleaning'!O317+'Data cleaning'!P317+'Data cleaning'!M317)</f>
        <v>2012.9</v>
      </c>
      <c r="E317" s="64">
        <f>SUM('Data cleaning'!N317+'Data cleaning'!Q317+'Data cleaning'!AB317+'Data cleaning'!Z317)</f>
        <v>686.7</v>
      </c>
      <c r="F317" s="64">
        <f>SUM('Data cleaning'!R317+'Data cleaning'!S317+'Data cleaning'!T317)</f>
        <v>506.2</v>
      </c>
      <c r="G317" s="76">
        <f>SUM('Data cleaning'!U317+'Data cleaning'!W317)</f>
        <v>326.3</v>
      </c>
      <c r="H317" s="64">
        <v>165.3</v>
      </c>
      <c r="I317" s="64">
        <v>158.9</v>
      </c>
      <c r="J317" s="64">
        <v>169.3</v>
      </c>
      <c r="K317" s="64">
        <v>165.2</v>
      </c>
      <c r="L317" s="64">
        <v>167.6</v>
      </c>
      <c r="M317" s="64">
        <f>SUM('Data cleaning'!U317+'Data cleaning'!V317+'Data cleaning'!Y317+'Data cleaning'!AC317)</f>
        <v>652.79999999999995</v>
      </c>
    </row>
    <row r="318" spans="1:13">
      <c r="A318" s="64" t="s">
        <v>33</v>
      </c>
      <c r="B318" s="64">
        <v>2021</v>
      </c>
      <c r="C318" s="64" t="s">
        <v>45</v>
      </c>
      <c r="D318" s="64">
        <f>SUM('Data cleaning'!D318+'Data cleaning'!E318+'Data cleaning'!F318+'Data cleaning'!G318+'Data cleaning'!H318+'Data cleaning'!I318+'Data cleaning'!J318+'Data cleaning'!K318+'Data cleaning'!L318+'Data cleaning'!O318+'Data cleaning'!P318+'Data cleaning'!M318)</f>
        <v>2061.7999999999997</v>
      </c>
      <c r="E318" s="64">
        <f>SUM('Data cleaning'!N318+'Data cleaning'!Q318+'Data cleaning'!AB318+'Data cleaning'!Z318)</f>
        <v>671.60000000000014</v>
      </c>
      <c r="F318" s="64">
        <f>SUM('Data cleaning'!R318+'Data cleaning'!S318+'Data cleaning'!T318)</f>
        <v>467.3</v>
      </c>
      <c r="G318" s="76">
        <f>SUM('Data cleaning'!U318+'Data cleaning'!W318)</f>
        <v>319.39999999999998</v>
      </c>
      <c r="H318" s="64">
        <v>161.6</v>
      </c>
      <c r="I318" s="64">
        <v>151.19999999999999</v>
      </c>
      <c r="J318" s="64">
        <v>160.80000000000001</v>
      </c>
      <c r="K318" s="64">
        <v>157.30000000000001</v>
      </c>
      <c r="L318" s="64">
        <v>165.6</v>
      </c>
      <c r="M318" s="64">
        <f>SUM('Data cleaning'!U318+'Data cleaning'!V318+'Data cleaning'!Y318+'Data cleaning'!AC318)</f>
        <v>634.29999999999995</v>
      </c>
    </row>
    <row r="319" spans="1:13">
      <c r="A319" s="64" t="s">
        <v>34</v>
      </c>
      <c r="B319" s="64">
        <v>2021</v>
      </c>
      <c r="C319" s="64" t="s">
        <v>45</v>
      </c>
      <c r="D319" s="64">
        <f>SUM('Data cleaning'!D319+'Data cleaning'!E319+'Data cleaning'!F319+'Data cleaning'!G319+'Data cleaning'!H319+'Data cleaning'!I319+'Data cleaning'!J319+'Data cleaning'!K319+'Data cleaning'!L319+'Data cleaning'!O319+'Data cleaning'!P319+'Data cleaning'!M319)</f>
        <v>2030.3999999999999</v>
      </c>
      <c r="E319" s="64">
        <f>SUM('Data cleaning'!N319+'Data cleaning'!Q319+'Data cleaning'!AB319+'Data cleaning'!Z319)</f>
        <v>678.59999999999991</v>
      </c>
      <c r="F319" s="64">
        <f>SUM('Data cleaning'!R319+'Data cleaning'!S319+'Data cleaning'!T319)</f>
        <v>490.40000000000003</v>
      </c>
      <c r="G319" s="76">
        <f>SUM('Data cleaning'!U319+'Data cleaning'!W319)</f>
        <v>323.5</v>
      </c>
      <c r="H319" s="64">
        <v>163.9</v>
      </c>
      <c r="I319" s="64">
        <v>154.80000000000001</v>
      </c>
      <c r="J319" s="64">
        <v>164.3</v>
      </c>
      <c r="K319" s="64">
        <v>161.4</v>
      </c>
      <c r="L319" s="64">
        <v>166.7</v>
      </c>
      <c r="M319" s="64">
        <f>SUM('Data cleaning'!U319+'Data cleaning'!V319+'Data cleaning'!Y319+'Data cleaning'!AC319)</f>
        <v>644.30000000000007</v>
      </c>
    </row>
    <row r="320" spans="1:13">
      <c r="A320" s="64" t="s">
        <v>30</v>
      </c>
      <c r="B320" s="64">
        <v>2021</v>
      </c>
      <c r="C320" s="64" t="s">
        <v>46</v>
      </c>
      <c r="D320" s="64">
        <f>SUM('Data cleaning'!D320+'Data cleaning'!E320+'Data cleaning'!F320+'Data cleaning'!G320+'Data cleaning'!H320+'Data cleaning'!I320+'Data cleaning'!J320+'Data cleaning'!K320+'Data cleaning'!L320+'Data cleaning'!O320+'Data cleaning'!P320+'Data cleaning'!M320)</f>
        <v>1998.4999999999998</v>
      </c>
      <c r="E320" s="64">
        <f>SUM('Data cleaning'!N320+'Data cleaning'!Q320+'Data cleaning'!AB320+'Data cleaning'!Z320)</f>
        <v>687.8</v>
      </c>
      <c r="F320" s="64">
        <f>SUM('Data cleaning'!R320+'Data cleaning'!S320+'Data cleaning'!T320)</f>
        <v>510.3</v>
      </c>
      <c r="G320" s="76">
        <f>SUM('Data cleaning'!U320+'Data cleaning'!W320)</f>
        <v>328.4</v>
      </c>
      <c r="H320" s="64">
        <v>165.6</v>
      </c>
      <c r="I320" s="64">
        <v>160.1</v>
      </c>
      <c r="J320" s="64">
        <v>169.7</v>
      </c>
      <c r="K320" s="64">
        <v>166</v>
      </c>
      <c r="L320" s="64">
        <v>167</v>
      </c>
      <c r="M320" s="64">
        <f>SUM('Data cleaning'!U320+'Data cleaning'!V320+'Data cleaning'!Y320+'Data cleaning'!AC320)</f>
        <v>656.2</v>
      </c>
    </row>
    <row r="321" spans="1:13">
      <c r="A321" s="64" t="s">
        <v>33</v>
      </c>
      <c r="B321" s="64">
        <v>2021</v>
      </c>
      <c r="C321" s="64" t="s">
        <v>46</v>
      </c>
      <c r="D321" s="64">
        <f>SUM('Data cleaning'!D321+'Data cleaning'!E321+'Data cleaning'!F321+'Data cleaning'!G321+'Data cleaning'!H321+'Data cleaning'!I321+'Data cleaning'!J321+'Data cleaning'!K321+'Data cleaning'!L321+'Data cleaning'!O321+'Data cleaning'!P321+'Data cleaning'!M321)</f>
        <v>2049.8000000000002</v>
      </c>
      <c r="E321" s="64">
        <f>SUM('Data cleaning'!N321+'Data cleaning'!Q321+'Data cleaning'!AB321+'Data cleaning'!Z321)</f>
        <v>673.30000000000007</v>
      </c>
      <c r="F321" s="64">
        <f>SUM('Data cleaning'!R321+'Data cleaning'!S321+'Data cleaning'!T321)</f>
        <v>470.7</v>
      </c>
      <c r="G321" s="76">
        <f>SUM('Data cleaning'!U321+'Data cleaning'!W321)</f>
        <v>319.39999999999998</v>
      </c>
      <c r="H321" s="64">
        <v>161.69999999999999</v>
      </c>
      <c r="I321" s="64">
        <v>151.80000000000001</v>
      </c>
      <c r="J321" s="64">
        <v>160.6</v>
      </c>
      <c r="K321" s="64">
        <v>157.80000000000001</v>
      </c>
      <c r="L321" s="64">
        <v>165.2</v>
      </c>
      <c r="M321" s="64">
        <f>SUM('Data cleaning'!U321+'Data cleaning'!V321+'Data cleaning'!Y321+'Data cleaning'!AC321)</f>
        <v>634.70000000000005</v>
      </c>
    </row>
    <row r="322" spans="1:13">
      <c r="A322" s="64" t="s">
        <v>34</v>
      </c>
      <c r="B322" s="64">
        <v>2021</v>
      </c>
      <c r="C322" s="64" t="s">
        <v>46</v>
      </c>
      <c r="D322" s="64">
        <f>SUM('Data cleaning'!D322+'Data cleaning'!E322+'Data cleaning'!F322+'Data cleaning'!G322+'Data cleaning'!H322+'Data cleaning'!I322+'Data cleaning'!J322+'Data cleaning'!K322+'Data cleaning'!L322+'Data cleaning'!O322+'Data cleaning'!P322+'Data cleaning'!M322)</f>
        <v>2016.7</v>
      </c>
      <c r="E322" s="64">
        <f>SUM('Data cleaning'!N322+'Data cleaning'!Q322+'Data cleaning'!AB322+'Data cleaning'!Z322)</f>
        <v>679.80000000000007</v>
      </c>
      <c r="F322" s="64">
        <f>SUM('Data cleaning'!R322+'Data cleaning'!S322+'Data cleaning'!T322)</f>
        <v>494.2</v>
      </c>
      <c r="G322" s="76">
        <f>SUM('Data cleaning'!U322+'Data cleaning'!W322)</f>
        <v>323.60000000000002</v>
      </c>
      <c r="H322" s="64">
        <v>164.1</v>
      </c>
      <c r="I322" s="64">
        <v>155.69999999999999</v>
      </c>
      <c r="J322" s="64">
        <v>164.4</v>
      </c>
      <c r="K322" s="64">
        <v>162</v>
      </c>
      <c r="L322" s="64">
        <v>166.2</v>
      </c>
      <c r="M322" s="64">
        <f>SUM('Data cleaning'!U322+'Data cleaning'!V322+'Data cleaning'!Y322+'Data cleaning'!AC322)</f>
        <v>645.20000000000005</v>
      </c>
    </row>
    <row r="323" spans="1:13">
      <c r="A323" s="64" t="s">
        <v>30</v>
      </c>
      <c r="B323" s="64">
        <v>2022</v>
      </c>
      <c r="C323" s="64" t="s">
        <v>31</v>
      </c>
      <c r="D323" s="64">
        <f>SUM('Data cleaning'!D323+'Data cleaning'!E323+'Data cleaning'!F323+'Data cleaning'!G323+'Data cleaning'!H323+'Data cleaning'!I323+'Data cleaning'!J323+'Data cleaning'!K323+'Data cleaning'!L323+'Data cleaning'!O323+'Data cleaning'!P323+'Data cleaning'!M323)</f>
        <v>1983.1999999999998</v>
      </c>
      <c r="E323" s="64">
        <f>SUM('Data cleaning'!N323+'Data cleaning'!Q323+'Data cleaning'!AB323+'Data cleaning'!Z323)</f>
        <v>688.6</v>
      </c>
      <c r="F323" s="64">
        <f>SUM('Data cleaning'!R323+'Data cleaning'!S323+'Data cleaning'!T323)</f>
        <v>515.20000000000005</v>
      </c>
      <c r="G323" s="76">
        <f>SUM('Data cleaning'!U323+'Data cleaning'!W323)</f>
        <v>330.4</v>
      </c>
      <c r="H323" s="64">
        <v>165.8</v>
      </c>
      <c r="I323" s="64">
        <v>160.80000000000001</v>
      </c>
      <c r="J323" s="64">
        <v>169.9</v>
      </c>
      <c r="K323" s="64">
        <v>166.6</v>
      </c>
      <c r="L323" s="64">
        <v>166.4</v>
      </c>
      <c r="M323" s="64">
        <f>SUM('Data cleaning'!U323+'Data cleaning'!V323+'Data cleaning'!Y323+'Data cleaning'!AC323)</f>
        <v>658.7</v>
      </c>
    </row>
    <row r="324" spans="1:13">
      <c r="A324" s="64" t="s">
        <v>33</v>
      </c>
      <c r="B324" s="64">
        <v>2022</v>
      </c>
      <c r="C324" s="64" t="s">
        <v>31</v>
      </c>
      <c r="D324" s="64">
        <f>SUM('Data cleaning'!D324+'Data cleaning'!E324+'Data cleaning'!F324+'Data cleaning'!G324+'Data cleaning'!H324+'Data cleaning'!I324+'Data cleaning'!J324+'Data cleaning'!K324+'Data cleaning'!L324+'Data cleaning'!O324+'Data cleaning'!P324+'Data cleaning'!M324)</f>
        <v>2030.0999999999997</v>
      </c>
      <c r="E324" s="64">
        <f>SUM('Data cleaning'!N324+'Data cleaning'!Q324+'Data cleaning'!AB324+'Data cleaning'!Z324)</f>
        <v>674.19999999999993</v>
      </c>
      <c r="F324" s="64">
        <f>SUM('Data cleaning'!R324+'Data cleaning'!S324+'Data cleaning'!T324)</f>
        <v>475.4</v>
      </c>
      <c r="G324" s="76">
        <f>SUM('Data cleaning'!U324+'Data cleaning'!W324)</f>
        <v>321.3</v>
      </c>
      <c r="H324" s="64">
        <v>161.6</v>
      </c>
      <c r="I324" s="64">
        <v>152.69999999999999</v>
      </c>
      <c r="J324" s="64">
        <v>161</v>
      </c>
      <c r="K324" s="64">
        <v>158.6</v>
      </c>
      <c r="L324" s="64">
        <v>165</v>
      </c>
      <c r="M324" s="64">
        <f>SUM('Data cleaning'!U324+'Data cleaning'!V324+'Data cleaning'!Y324+'Data cleaning'!AC324)</f>
        <v>637.4</v>
      </c>
    </row>
    <row r="325" spans="1:13">
      <c r="A325" s="64" t="s">
        <v>34</v>
      </c>
      <c r="B325" s="64">
        <v>2022</v>
      </c>
      <c r="C325" s="64" t="s">
        <v>31</v>
      </c>
      <c r="D325" s="64">
        <f>SUM('Data cleaning'!D325+'Data cleaning'!E325+'Data cleaning'!F325+'Data cleaning'!G325+'Data cleaning'!H325+'Data cleaning'!I325+'Data cleaning'!J325+'Data cleaning'!K325+'Data cleaning'!L325+'Data cleaning'!O325+'Data cleaning'!P325+'Data cleaning'!M325)</f>
        <v>1999.9</v>
      </c>
      <c r="E325" s="64">
        <f>SUM('Data cleaning'!N325+'Data cleaning'!Q325+'Data cleaning'!AB325+'Data cleaning'!Z325)</f>
        <v>680.7</v>
      </c>
      <c r="F325" s="64">
        <f>SUM('Data cleaning'!R325+'Data cleaning'!S325+'Data cleaning'!T325)</f>
        <v>499.1</v>
      </c>
      <c r="G325" s="76">
        <f>SUM('Data cleaning'!U325+'Data cleaning'!W325)</f>
        <v>325.60000000000002</v>
      </c>
      <c r="H325" s="64">
        <v>164.2</v>
      </c>
      <c r="I325" s="64">
        <v>156.5</v>
      </c>
      <c r="J325" s="64">
        <v>164.7</v>
      </c>
      <c r="K325" s="64">
        <v>162.69999999999999</v>
      </c>
      <c r="L325" s="64">
        <v>165.7</v>
      </c>
      <c r="M325" s="64">
        <f>SUM('Data cleaning'!U325+'Data cleaning'!V325+'Data cleaning'!Y325+'Data cleaning'!AC325)</f>
        <v>647.9</v>
      </c>
    </row>
    <row r="326" spans="1:13">
      <c r="A326" s="64" t="s">
        <v>30</v>
      </c>
      <c r="B326" s="64">
        <v>2022</v>
      </c>
      <c r="C326" s="64" t="s">
        <v>35</v>
      </c>
      <c r="D326" s="64">
        <f>SUM('Data cleaning'!D326+'Data cleaning'!E326+'Data cleaning'!F326+'Data cleaning'!G326+'Data cleaning'!H326+'Data cleaning'!I326+'Data cleaning'!J326+'Data cleaning'!K326+'Data cleaning'!L326+'Data cleaning'!O326+'Data cleaning'!P326+'Data cleaning'!M326)</f>
        <v>1979.9</v>
      </c>
      <c r="E326" s="64">
        <f>SUM('Data cleaning'!N326+'Data cleaning'!Q326+'Data cleaning'!AB326+'Data cleaning'!Z326)</f>
        <v>692</v>
      </c>
      <c r="F326" s="64">
        <f>SUM('Data cleaning'!R326+'Data cleaning'!S326+'Data cleaning'!T326)</f>
        <v>518.79999999999995</v>
      </c>
      <c r="G326" s="76">
        <f>SUM('Data cleaning'!U326+'Data cleaning'!W326)</f>
        <v>331</v>
      </c>
      <c r="H326" s="64">
        <v>167.4</v>
      </c>
      <c r="I326" s="64">
        <v>161.19999999999999</v>
      </c>
      <c r="J326" s="64">
        <v>170.3</v>
      </c>
      <c r="K326" s="64">
        <v>167.3</v>
      </c>
      <c r="L326" s="64">
        <v>166.7</v>
      </c>
      <c r="M326" s="64">
        <f>SUM('Data cleaning'!U326+'Data cleaning'!V326+'Data cleaning'!Y326+'Data cleaning'!AC326)</f>
        <v>661.2</v>
      </c>
    </row>
    <row r="327" spans="1:13">
      <c r="A327" s="64" t="s">
        <v>33</v>
      </c>
      <c r="B327" s="64">
        <v>2022</v>
      </c>
      <c r="C327" s="64" t="s">
        <v>35</v>
      </c>
      <c r="D327" s="64">
        <f>SUM('Data cleaning'!D327+'Data cleaning'!E327+'Data cleaning'!F327+'Data cleaning'!G327+'Data cleaning'!H327+'Data cleaning'!I327+'Data cleaning'!J327+'Data cleaning'!K327+'Data cleaning'!L327+'Data cleaning'!O327+'Data cleaning'!P327+'Data cleaning'!M327)</f>
        <v>2026.8</v>
      </c>
      <c r="E327" s="64">
        <f>SUM('Data cleaning'!N327+'Data cleaning'!Q327+'Data cleaning'!AB327+'Data cleaning'!Z327)</f>
        <v>676.9</v>
      </c>
      <c r="F327" s="64">
        <f>SUM('Data cleaning'!R327+'Data cleaning'!S327+'Data cleaning'!T327)</f>
        <v>479.5</v>
      </c>
      <c r="G327" s="76">
        <f>SUM('Data cleaning'!U327+'Data cleaning'!W327)</f>
        <v>322.89999999999998</v>
      </c>
      <c r="H327" s="64">
        <v>163</v>
      </c>
      <c r="I327" s="64">
        <v>153.1</v>
      </c>
      <c r="J327" s="64">
        <v>162</v>
      </c>
      <c r="K327" s="64">
        <v>159.4</v>
      </c>
      <c r="L327" s="64">
        <v>165.5</v>
      </c>
      <c r="M327" s="64">
        <f>SUM('Data cleaning'!U327+'Data cleaning'!V327+'Data cleaning'!Y327+'Data cleaning'!AC327)</f>
        <v>641</v>
      </c>
    </row>
    <row r="328" spans="1:13">
      <c r="A328" s="64" t="s">
        <v>34</v>
      </c>
      <c r="B328" s="64">
        <v>2022</v>
      </c>
      <c r="C328" s="64" t="s">
        <v>35</v>
      </c>
      <c r="D328" s="64">
        <f>SUM('Data cleaning'!D328+'Data cleaning'!E328+'Data cleaning'!F328+'Data cleaning'!G328+'Data cleaning'!H328+'Data cleaning'!I328+'Data cleaning'!J328+'Data cleaning'!K328+'Data cleaning'!L328+'Data cleaning'!O328+'Data cleaning'!P328+'Data cleaning'!M328)</f>
        <v>1996.5000000000002</v>
      </c>
      <c r="E328" s="64">
        <f>SUM('Data cleaning'!N328+'Data cleaning'!Q328+'Data cleaning'!AB328+'Data cleaning'!Z328)</f>
        <v>684</v>
      </c>
      <c r="F328" s="64">
        <f>SUM('Data cleaning'!R328+'Data cleaning'!S328+'Data cleaning'!T328)</f>
        <v>502.80000000000007</v>
      </c>
      <c r="G328" s="76">
        <f>SUM('Data cleaning'!U328+'Data cleaning'!W328)</f>
        <v>327.3</v>
      </c>
      <c r="H328" s="64">
        <v>165.7</v>
      </c>
      <c r="I328" s="64">
        <v>156.9</v>
      </c>
      <c r="J328" s="64">
        <v>165.4</v>
      </c>
      <c r="K328" s="64">
        <v>163.5</v>
      </c>
      <c r="L328" s="64">
        <v>166.1</v>
      </c>
      <c r="M328" s="64">
        <f>SUM('Data cleaning'!U328+'Data cleaning'!V328+'Data cleaning'!Y328+'Data cleaning'!AC328)</f>
        <v>651.6</v>
      </c>
    </row>
    <row r="329" spans="1:13">
      <c r="A329" s="64" t="s">
        <v>30</v>
      </c>
      <c r="B329" s="64">
        <v>2022</v>
      </c>
      <c r="C329" s="64" t="s">
        <v>36</v>
      </c>
      <c r="D329" s="64">
        <f>SUM('Data cleaning'!D329+'Data cleaning'!E329+'Data cleaning'!F329+'Data cleaning'!G329+'Data cleaning'!H329+'Data cleaning'!I329+'Data cleaning'!J329+'Data cleaning'!K329+'Data cleaning'!L329+'Data cleaning'!O329+'Data cleaning'!P329+'Data cleaning'!M329)</f>
        <v>2007.9</v>
      </c>
      <c r="E329" s="64">
        <f>SUM('Data cleaning'!N329+'Data cleaning'!Q329+'Data cleaning'!AB329+'Data cleaning'!Z329)</f>
        <v>697.5</v>
      </c>
      <c r="F329" s="64">
        <f>SUM('Data cleaning'!R329+'Data cleaning'!S329+'Data cleaning'!T329)</f>
        <v>523.70000000000005</v>
      </c>
      <c r="G329" s="76">
        <f>SUM('Data cleaning'!U329+'Data cleaning'!W329)</f>
        <v>333.5</v>
      </c>
      <c r="H329" s="64">
        <v>168.9</v>
      </c>
      <c r="I329" s="64">
        <v>162</v>
      </c>
      <c r="J329" s="64">
        <v>170.6</v>
      </c>
      <c r="K329" s="64">
        <v>168.3</v>
      </c>
      <c r="L329" s="64">
        <v>168.7</v>
      </c>
      <c r="M329" s="64">
        <f>SUM('Data cleaning'!U329+'Data cleaning'!V329+'Data cleaning'!Y329+'Data cleaning'!AC329)</f>
        <v>666.2</v>
      </c>
    </row>
    <row r="330" spans="1:13">
      <c r="A330" s="64" t="s">
        <v>33</v>
      </c>
      <c r="B330" s="64">
        <v>2022</v>
      </c>
      <c r="C330" s="64" t="s">
        <v>36</v>
      </c>
      <c r="D330" s="64">
        <f>SUM('Data cleaning'!D330+'Data cleaning'!E330+'Data cleaning'!F330+'Data cleaning'!G330+'Data cleaning'!H330+'Data cleaning'!I330+'Data cleaning'!J330+'Data cleaning'!K330+'Data cleaning'!L330+'Data cleaning'!O330+'Data cleaning'!P330+'Data cleaning'!M330)</f>
        <v>2039.2000000000003</v>
      </c>
      <c r="E330" s="64">
        <f>SUM('Data cleaning'!N330+'Data cleaning'!Q330+'Data cleaning'!AB330+'Data cleaning'!Z330)</f>
        <v>682.2</v>
      </c>
      <c r="F330" s="64">
        <f>SUM('Data cleaning'!R330+'Data cleaning'!S330+'Data cleaning'!T330)</f>
        <v>484.6</v>
      </c>
      <c r="G330" s="76">
        <f>SUM('Data cleaning'!U330+'Data cleaning'!W330)</f>
        <v>323.89999999999998</v>
      </c>
      <c r="H330" s="64">
        <v>164.5</v>
      </c>
      <c r="I330" s="64">
        <v>154.19999999999999</v>
      </c>
      <c r="J330" s="64">
        <v>162.69999999999999</v>
      </c>
      <c r="K330" s="64">
        <v>160.6</v>
      </c>
      <c r="L330" s="64">
        <v>166.5</v>
      </c>
      <c r="M330" s="64">
        <f>SUM('Data cleaning'!U330+'Data cleaning'!V330+'Data cleaning'!Y330+'Data cleaning'!AC330)</f>
        <v>644.6</v>
      </c>
    </row>
    <row r="331" spans="1:13">
      <c r="A331" s="64" t="s">
        <v>34</v>
      </c>
      <c r="B331" s="64">
        <v>2022</v>
      </c>
      <c r="C331" s="64" t="s">
        <v>36</v>
      </c>
      <c r="D331" s="64">
        <f>SUM('Data cleaning'!D331+'Data cleaning'!E331+'Data cleaning'!F331+'Data cleaning'!G331+'Data cleaning'!H331+'Data cleaning'!I331+'Data cleaning'!J331+'Data cleaning'!K331+'Data cleaning'!L331+'Data cleaning'!O331+'Data cleaning'!P331+'Data cleaning'!M331)</f>
        <v>2018.9000000000003</v>
      </c>
      <c r="E331" s="64">
        <f>SUM('Data cleaning'!N331+'Data cleaning'!Q331+'Data cleaning'!AB331+'Data cleaning'!Z331)</f>
        <v>689.5</v>
      </c>
      <c r="F331" s="64">
        <f>SUM('Data cleaning'!R331+'Data cleaning'!S331+'Data cleaning'!T331)</f>
        <v>507.79999999999995</v>
      </c>
      <c r="G331" s="76">
        <f>SUM('Data cleaning'!U331+'Data cleaning'!W331)</f>
        <v>328.1</v>
      </c>
      <c r="H331" s="64">
        <v>167.2</v>
      </c>
      <c r="I331" s="64">
        <v>157.9</v>
      </c>
      <c r="J331" s="64">
        <v>166</v>
      </c>
      <c r="K331" s="64">
        <v>164.6</v>
      </c>
      <c r="L331" s="64">
        <v>167.7</v>
      </c>
      <c r="M331" s="64">
        <f>SUM('Data cleaning'!U331+'Data cleaning'!V331+'Data cleaning'!Y331+'Data cleaning'!AC331)</f>
        <v>655</v>
      </c>
    </row>
    <row r="332" spans="1:13">
      <c r="A332" s="64" t="s">
        <v>30</v>
      </c>
      <c r="B332" s="64">
        <v>2022</v>
      </c>
      <c r="C332" s="64" t="s">
        <v>37</v>
      </c>
      <c r="D332" s="64">
        <f>SUM('Data cleaning'!D332+'Data cleaning'!E332+'Data cleaning'!F332+'Data cleaning'!G332+'Data cleaning'!H332+'Data cleaning'!I332+'Data cleaning'!J332+'Data cleaning'!K332+'Data cleaning'!L332+'Data cleaning'!O332+'Data cleaning'!P332+'Data cleaning'!M332)</f>
        <v>2034.1999999999998</v>
      </c>
      <c r="E332" s="64">
        <f>SUM('Data cleaning'!N332+'Data cleaning'!Q332+'Data cleaning'!AB332+'Data cleaning'!Z332)</f>
        <v>701.40000000000009</v>
      </c>
      <c r="F332" s="64">
        <f>SUM('Data cleaning'!R332+'Data cleaning'!S332+'Data cleaning'!T332)</f>
        <v>529.70000000000005</v>
      </c>
      <c r="G332" s="76">
        <f>SUM('Data cleaning'!U332+'Data cleaning'!W332)</f>
        <v>335.2</v>
      </c>
      <c r="H332" s="64">
        <v>173.3</v>
      </c>
      <c r="I332" s="64">
        <v>166.2</v>
      </c>
      <c r="J332" s="64">
        <v>170.9</v>
      </c>
      <c r="K332" s="64">
        <v>170.2</v>
      </c>
      <c r="L332" s="64">
        <v>170.8</v>
      </c>
      <c r="M332" s="64">
        <f>SUM('Data cleaning'!U332+'Data cleaning'!V332+'Data cleaning'!Y332+'Data cleaning'!AC332)</f>
        <v>677.2</v>
      </c>
    </row>
    <row r="333" spans="1:13">
      <c r="A333" s="64" t="s">
        <v>33</v>
      </c>
      <c r="B333" s="64">
        <v>2022</v>
      </c>
      <c r="C333" s="64" t="s">
        <v>37</v>
      </c>
      <c r="D333" s="64">
        <f>SUM('Data cleaning'!D333+'Data cleaning'!E333+'Data cleaning'!F333+'Data cleaning'!G333+'Data cleaning'!H333+'Data cleaning'!I333+'Data cleaning'!J333+'Data cleaning'!K333+'Data cleaning'!L333+'Data cleaning'!O333+'Data cleaning'!P333+'Data cleaning'!M333)</f>
        <v>2072.9</v>
      </c>
      <c r="E333" s="64">
        <f>SUM('Data cleaning'!N333+'Data cleaning'!Q333+'Data cleaning'!AB333+'Data cleaning'!Z333)</f>
        <v>685.2</v>
      </c>
      <c r="F333" s="64">
        <f>SUM('Data cleaning'!R333+'Data cleaning'!S333+'Data cleaning'!T333)</f>
        <v>489.2</v>
      </c>
      <c r="G333" s="76">
        <f>SUM('Data cleaning'!U333+'Data cleaning'!W333)</f>
        <v>326.8</v>
      </c>
      <c r="H333" s="64">
        <v>170.5</v>
      </c>
      <c r="I333" s="64">
        <v>159.30000000000001</v>
      </c>
      <c r="J333" s="64">
        <v>164</v>
      </c>
      <c r="K333" s="64">
        <v>163.1</v>
      </c>
      <c r="L333" s="64">
        <v>169.2</v>
      </c>
      <c r="M333" s="64">
        <f>SUM('Data cleaning'!U333+'Data cleaning'!V333+'Data cleaning'!Y333+'Data cleaning'!AC333)</f>
        <v>659.9</v>
      </c>
    </row>
    <row r="334" spans="1:13">
      <c r="A334" s="64" t="s">
        <v>34</v>
      </c>
      <c r="B334" s="64">
        <v>2022</v>
      </c>
      <c r="C334" s="64" t="s">
        <v>37</v>
      </c>
      <c r="D334" s="64">
        <f>SUM('Data cleaning'!D334+'Data cleaning'!E334+'Data cleaning'!F334+'Data cleaning'!G334+'Data cleaning'!H334+'Data cleaning'!I334+'Data cleaning'!J334+'Data cleaning'!K334+'Data cleaning'!L334+'Data cleaning'!O334+'Data cleaning'!P334+'Data cleaning'!M334)</f>
        <v>2048.1000000000004</v>
      </c>
      <c r="E334" s="64">
        <f>SUM('Data cleaning'!N334+'Data cleaning'!Q334+'Data cleaning'!AB334+'Data cleaning'!Z334)</f>
        <v>693.30000000000007</v>
      </c>
      <c r="F334" s="64">
        <f>SUM('Data cleaning'!R334+'Data cleaning'!S334+'Data cleaning'!T334)</f>
        <v>513.20000000000005</v>
      </c>
      <c r="G334" s="76">
        <f>SUM('Data cleaning'!U334+'Data cleaning'!W334)</f>
        <v>331</v>
      </c>
      <c r="H334" s="64">
        <v>172.2</v>
      </c>
      <c r="I334" s="64">
        <v>162.6</v>
      </c>
      <c r="J334" s="64">
        <v>166.9</v>
      </c>
      <c r="K334" s="64">
        <v>166.8</v>
      </c>
      <c r="L334" s="64">
        <v>170.1</v>
      </c>
      <c r="M334" s="64">
        <f>SUM('Data cleaning'!U334+'Data cleaning'!V334+'Data cleaning'!Y334+'Data cleaning'!AC334)</f>
        <v>668.59999999999991</v>
      </c>
    </row>
    <row r="335" spans="1:13">
      <c r="A335" s="64" t="s">
        <v>30</v>
      </c>
      <c r="B335" s="64">
        <v>2022</v>
      </c>
      <c r="C335" s="64" t="s">
        <v>38</v>
      </c>
      <c r="D335" s="64">
        <f>SUM('Data cleaning'!D335+'Data cleaning'!E335+'Data cleaning'!F335+'Data cleaning'!G335+'Data cleaning'!H335+'Data cleaning'!I335+'Data cleaning'!J335+'Data cleaning'!K335+'Data cleaning'!L335+'Data cleaning'!O335+'Data cleaning'!P335+'Data cleaning'!M335)</f>
        <v>2053.6000000000004</v>
      </c>
      <c r="E335" s="64">
        <f>SUM('Data cleaning'!N335+'Data cleaning'!Q335+'Data cleaning'!AB335+'Data cleaning'!Z335)</f>
        <v>702.2</v>
      </c>
      <c r="F335" s="64">
        <f>SUM('Data cleaning'!R335+'Data cleaning'!S335+'Data cleaning'!T335)</f>
        <v>535.5</v>
      </c>
      <c r="G335" s="76">
        <f>SUM('Data cleaning'!U335+'Data cleaning'!W335)</f>
        <v>335.70000000000005</v>
      </c>
      <c r="H335" s="64">
        <v>175.3</v>
      </c>
      <c r="I335" s="64">
        <v>167.1</v>
      </c>
      <c r="J335" s="64">
        <v>171.8</v>
      </c>
      <c r="K335" s="64">
        <v>170.9</v>
      </c>
      <c r="L335" s="64">
        <v>172.5</v>
      </c>
      <c r="M335" s="64">
        <f>SUM('Data cleaning'!U335+'Data cleaning'!V335+'Data cleaning'!Y335+'Data cleaning'!AC335)</f>
        <v>680.1</v>
      </c>
    </row>
    <row r="336" spans="1:13">
      <c r="A336" s="64" t="s">
        <v>33</v>
      </c>
      <c r="B336" s="64">
        <v>2022</v>
      </c>
      <c r="C336" s="64" t="s">
        <v>38</v>
      </c>
      <c r="D336" s="64">
        <f>SUM('Data cleaning'!D336+'Data cleaning'!E336+'Data cleaning'!F336+'Data cleaning'!G336+'Data cleaning'!H336+'Data cleaning'!I336+'Data cleaning'!J336+'Data cleaning'!K336+'Data cleaning'!L336+'Data cleaning'!O336+'Data cleaning'!P336+'Data cleaning'!M336)</f>
        <v>2103.7000000000003</v>
      </c>
      <c r="E336" s="64">
        <f>SUM('Data cleaning'!N336+'Data cleaning'!Q336+'Data cleaning'!AB336+'Data cleaning'!Z336)</f>
        <v>687.40000000000009</v>
      </c>
      <c r="F336" s="64">
        <f>SUM('Data cleaning'!R336+'Data cleaning'!S336+'Data cleaning'!T336)</f>
        <v>493.7</v>
      </c>
      <c r="G336" s="76">
        <f>SUM('Data cleaning'!U336+'Data cleaning'!W336)</f>
        <v>328.6</v>
      </c>
      <c r="H336" s="64">
        <v>173.5</v>
      </c>
      <c r="I336" s="64">
        <v>159.4</v>
      </c>
      <c r="J336" s="64">
        <v>165.2</v>
      </c>
      <c r="K336" s="64">
        <v>163.80000000000001</v>
      </c>
      <c r="L336" s="64">
        <v>170.8</v>
      </c>
      <c r="M336" s="64">
        <f>SUM('Data cleaning'!U336+'Data cleaning'!V336+'Data cleaning'!Y336+'Data cleaning'!AC336)</f>
        <v>664.2</v>
      </c>
    </row>
    <row r="337" spans="1:13">
      <c r="A337" s="64" t="s">
        <v>34</v>
      </c>
      <c r="B337" s="64">
        <v>2022</v>
      </c>
      <c r="C337" s="64" t="s">
        <v>38</v>
      </c>
      <c r="D337" s="64">
        <f>SUM('Data cleaning'!D337+'Data cleaning'!E337+'Data cleaning'!F337+'Data cleaning'!G337+'Data cleaning'!H337+'Data cleaning'!I337+'Data cleaning'!J337+'Data cleaning'!K337+'Data cleaning'!L337+'Data cleaning'!O337+'Data cleaning'!P337+'Data cleaning'!M337)</f>
        <v>2071.8000000000002</v>
      </c>
      <c r="E337" s="64">
        <f>SUM('Data cleaning'!N337+'Data cleaning'!Q337+'Data cleaning'!AB337+'Data cleaning'!Z337)</f>
        <v>694.7</v>
      </c>
      <c r="F337" s="64">
        <f>SUM('Data cleaning'!R337+'Data cleaning'!S337+'Data cleaning'!T337)</f>
        <v>518.6</v>
      </c>
      <c r="G337" s="76">
        <f>SUM('Data cleaning'!U337+'Data cleaning'!W337)</f>
        <v>332.7</v>
      </c>
      <c r="H337" s="64">
        <v>174.6</v>
      </c>
      <c r="I337" s="64">
        <v>163</v>
      </c>
      <c r="J337" s="64">
        <v>167.9</v>
      </c>
      <c r="K337" s="64">
        <v>167.5</v>
      </c>
      <c r="L337" s="64">
        <v>171.7</v>
      </c>
      <c r="M337" s="64">
        <f>SUM('Data cleaning'!U337+'Data cleaning'!V337+'Data cleaning'!Y337+'Data cleaning'!AC337)</f>
        <v>672.6</v>
      </c>
    </row>
    <row r="338" spans="1:13">
      <c r="A338" s="64" t="s">
        <v>30</v>
      </c>
      <c r="B338" s="64">
        <v>2022</v>
      </c>
      <c r="C338" s="64" t="s">
        <v>39</v>
      </c>
      <c r="D338" s="64">
        <f>SUM('Data cleaning'!D338+'Data cleaning'!E338+'Data cleaning'!F338+'Data cleaning'!G338+'Data cleaning'!H338+'Data cleaning'!I338+'Data cleaning'!J338+'Data cleaning'!K338+'Data cleaning'!L338+'Data cleaning'!O338+'Data cleaning'!P338+'Data cleaning'!M338)</f>
        <v>2074.1</v>
      </c>
      <c r="E338" s="64">
        <f>SUM('Data cleaning'!N338+'Data cleaning'!Q338+'Data cleaning'!AB338+'Data cleaning'!Z338)</f>
        <v>704.6</v>
      </c>
      <c r="F338" s="64">
        <f>SUM('Data cleaning'!R338+'Data cleaning'!S338+'Data cleaning'!T338)</f>
        <v>539.79999999999995</v>
      </c>
      <c r="G338" s="76">
        <f>SUM('Data cleaning'!U338+'Data cleaning'!W338)</f>
        <v>338.1</v>
      </c>
      <c r="H338" s="64">
        <v>176.7</v>
      </c>
      <c r="I338" s="64">
        <v>165.5</v>
      </c>
      <c r="J338" s="64">
        <v>172.6</v>
      </c>
      <c r="K338" s="64">
        <v>171</v>
      </c>
      <c r="L338" s="64">
        <v>173.6</v>
      </c>
      <c r="M338" s="64">
        <f>SUM('Data cleaning'!U338+'Data cleaning'!V338+'Data cleaning'!Y338+'Data cleaning'!AC338)</f>
        <v>681</v>
      </c>
    </row>
    <row r="339" spans="1:13">
      <c r="A339" s="64" t="s">
        <v>33</v>
      </c>
      <c r="B339" s="64">
        <v>2022</v>
      </c>
      <c r="C339" s="64" t="s">
        <v>39</v>
      </c>
      <c r="D339" s="64">
        <f>SUM('Data cleaning'!D339+'Data cleaning'!E339+'Data cleaning'!F339+'Data cleaning'!G339+'Data cleaning'!H339+'Data cleaning'!I339+'Data cleaning'!J339+'Data cleaning'!K339+'Data cleaning'!L339+'Data cleaning'!O339+'Data cleaning'!P339+'Data cleaning'!M339)</f>
        <v>2128.3999999999996</v>
      </c>
      <c r="E339" s="64">
        <f>SUM('Data cleaning'!N339+'Data cleaning'!Q339+'Data cleaning'!AB339+'Data cleaning'!Z339)</f>
        <v>690.69999999999993</v>
      </c>
      <c r="F339" s="64">
        <f>SUM('Data cleaning'!R339+'Data cleaning'!S339+'Data cleaning'!T339)</f>
        <v>498.4</v>
      </c>
      <c r="G339" s="76">
        <f>SUM('Data cleaning'!U339+'Data cleaning'!W339)</f>
        <v>328.9</v>
      </c>
      <c r="H339" s="64">
        <v>174.9</v>
      </c>
      <c r="I339" s="64">
        <v>157.19999999999999</v>
      </c>
      <c r="J339" s="64">
        <v>166.5</v>
      </c>
      <c r="K339" s="64">
        <v>163.80000000000001</v>
      </c>
      <c r="L339" s="64">
        <v>171.4</v>
      </c>
      <c r="M339" s="64">
        <f>SUM('Data cleaning'!U339+'Data cleaning'!V339+'Data cleaning'!Y339+'Data cleaning'!AC339)</f>
        <v>662.7</v>
      </c>
    </row>
    <row r="340" spans="1:13">
      <c r="A340" s="64" t="s">
        <v>34</v>
      </c>
      <c r="B340" s="64">
        <v>2022</v>
      </c>
      <c r="C340" s="64" t="s">
        <v>39</v>
      </c>
      <c r="D340" s="64">
        <f>SUM('Data cleaning'!D340+'Data cleaning'!E340+'Data cleaning'!F340+'Data cleaning'!G340+'Data cleaning'!H340+'Data cleaning'!I340+'Data cleaning'!J340+'Data cleaning'!K340+'Data cleaning'!L340+'Data cleaning'!O340+'Data cleaning'!P340+'Data cleaning'!M340)</f>
        <v>2094</v>
      </c>
      <c r="E340" s="64">
        <f>SUM('Data cleaning'!N340+'Data cleaning'!Q340+'Data cleaning'!AB340+'Data cleaning'!Z340)</f>
        <v>697.40000000000009</v>
      </c>
      <c r="F340" s="64">
        <f>SUM('Data cleaning'!R340+'Data cleaning'!S340+'Data cleaning'!T340)</f>
        <v>523</v>
      </c>
      <c r="G340" s="76">
        <f>SUM('Data cleaning'!U340+'Data cleaning'!W340)</f>
        <v>333.20000000000005</v>
      </c>
      <c r="H340" s="64">
        <v>176</v>
      </c>
      <c r="I340" s="64">
        <v>161.1</v>
      </c>
      <c r="J340" s="64">
        <v>169</v>
      </c>
      <c r="K340" s="64">
        <v>167.5</v>
      </c>
      <c r="L340" s="64">
        <v>172.6</v>
      </c>
      <c r="M340" s="64">
        <f>SUM('Data cleaning'!U340+'Data cleaning'!V340+'Data cleaning'!Y340+'Data cleaning'!AC340)</f>
        <v>671.4</v>
      </c>
    </row>
    <row r="341" spans="1:13">
      <c r="A341" s="64" t="s">
        <v>30</v>
      </c>
      <c r="B341" s="64">
        <v>2022</v>
      </c>
      <c r="C341" s="64" t="s">
        <v>40</v>
      </c>
      <c r="D341" s="64">
        <f>SUM('Data cleaning'!D341+'Data cleaning'!E341+'Data cleaning'!F341+'Data cleaning'!G341+'Data cleaning'!H341+'Data cleaning'!I341+'Data cleaning'!J341+'Data cleaning'!K341+'Data cleaning'!L341+'Data cleaning'!O341+'Data cleaning'!P341+'Data cleaning'!M341)</f>
        <v>2078</v>
      </c>
      <c r="E341" s="64">
        <f>SUM('Data cleaning'!N341+'Data cleaning'!Q341+'Data cleaning'!AB341+'Data cleaning'!Z341)</f>
        <v>706</v>
      </c>
      <c r="F341" s="64">
        <f>SUM('Data cleaning'!R341+'Data cleaning'!S341+'Data cleaning'!T341)</f>
        <v>544</v>
      </c>
      <c r="G341" s="76">
        <f>SUM('Data cleaning'!U341+'Data cleaning'!W341)</f>
        <v>340.3</v>
      </c>
      <c r="H341" s="64">
        <v>179.6</v>
      </c>
      <c r="I341" s="64">
        <v>166.3</v>
      </c>
      <c r="J341" s="64">
        <v>174.7</v>
      </c>
      <c r="K341" s="64">
        <v>171.8</v>
      </c>
      <c r="L341" s="64">
        <v>174.3</v>
      </c>
      <c r="M341" s="64">
        <f>SUM('Data cleaning'!U341+'Data cleaning'!V341+'Data cleaning'!Y341+'Data cleaning'!AC341)</f>
        <v>686.7</v>
      </c>
    </row>
    <row r="342" spans="1:13">
      <c r="A342" s="64" t="s">
        <v>33</v>
      </c>
      <c r="B342" s="64">
        <v>2022</v>
      </c>
      <c r="C342" s="64" t="s">
        <v>40</v>
      </c>
      <c r="D342" s="64">
        <f>SUM('Data cleaning'!D342+'Data cleaning'!E342+'Data cleaning'!F342+'Data cleaning'!G342+'Data cleaning'!H342+'Data cleaning'!I342+'Data cleaning'!J342+'Data cleaning'!K342+'Data cleaning'!L342+'Data cleaning'!O342+'Data cleaning'!P342+'Data cleaning'!M342)</f>
        <v>2131.8000000000002</v>
      </c>
      <c r="E342" s="64">
        <f>SUM('Data cleaning'!N342+'Data cleaning'!Q342+'Data cleaning'!AB342+'Data cleaning'!Z342)</f>
        <v>692.80000000000007</v>
      </c>
      <c r="F342" s="64">
        <f>SUM('Data cleaning'!R342+'Data cleaning'!S342+'Data cleaning'!T342)</f>
        <v>502</v>
      </c>
      <c r="G342" s="76">
        <f>SUM('Data cleaning'!U342+'Data cleaning'!W342)</f>
        <v>330.9</v>
      </c>
      <c r="H342" s="64">
        <v>179.5</v>
      </c>
      <c r="I342" s="64">
        <v>157.4</v>
      </c>
      <c r="J342" s="64">
        <v>169.1</v>
      </c>
      <c r="K342" s="64">
        <v>164.7</v>
      </c>
      <c r="L342" s="64">
        <v>172.3</v>
      </c>
      <c r="M342" s="64">
        <f>SUM('Data cleaning'!U342+'Data cleaning'!V342+'Data cleaning'!Y342+'Data cleaning'!AC342)</f>
        <v>669.40000000000009</v>
      </c>
    </row>
    <row r="343" spans="1:13">
      <c r="A343" s="64" t="s">
        <v>34</v>
      </c>
      <c r="B343" s="64">
        <v>2022</v>
      </c>
      <c r="C343" s="64" t="s">
        <v>40</v>
      </c>
      <c r="D343" s="64">
        <f>SUM('Data cleaning'!D343+'Data cleaning'!E343+'Data cleaning'!F343+'Data cleaning'!G343+'Data cleaning'!H343+'Data cleaning'!I343+'Data cleaning'!J343+'Data cleaning'!K343+'Data cleaning'!L343+'Data cleaning'!O343+'Data cleaning'!P343+'Data cleaning'!M343)</f>
        <v>2097.9</v>
      </c>
      <c r="E343" s="64">
        <f>SUM('Data cleaning'!N343+'Data cleaning'!Q343+'Data cleaning'!AB343+'Data cleaning'!Z343)</f>
        <v>699</v>
      </c>
      <c r="F343" s="64">
        <f>SUM('Data cleaning'!R343+'Data cleaning'!S343+'Data cleaning'!T343)</f>
        <v>526.90000000000009</v>
      </c>
      <c r="G343" s="76">
        <f>SUM('Data cleaning'!U343+'Data cleaning'!W343)</f>
        <v>335.20000000000005</v>
      </c>
      <c r="H343" s="64">
        <v>179.6</v>
      </c>
      <c r="I343" s="64">
        <v>161.6</v>
      </c>
      <c r="J343" s="64">
        <v>171.4</v>
      </c>
      <c r="K343" s="64">
        <v>168.4</v>
      </c>
      <c r="L343" s="64">
        <v>173.4</v>
      </c>
      <c r="M343" s="64">
        <f>SUM('Data cleaning'!U343+'Data cleaning'!V343+'Data cleaning'!Y343+'Data cleaning'!AC343)</f>
        <v>677.4</v>
      </c>
    </row>
    <row r="344" spans="1:13">
      <c r="A344" s="64" t="s">
        <v>30</v>
      </c>
      <c r="B344" s="64">
        <v>2022</v>
      </c>
      <c r="C344" s="64" t="s">
        <v>41</v>
      </c>
      <c r="D344" s="64">
        <f>SUM('Data cleaning'!D344+'Data cleaning'!E344+'Data cleaning'!F344+'Data cleaning'!G344+'Data cleaning'!H344+'Data cleaning'!I344+'Data cleaning'!J344+'Data cleaning'!K344+'Data cleaning'!L344+'Data cleaning'!O344+'Data cleaning'!P344+'Data cleaning'!M344)</f>
        <v>2081</v>
      </c>
      <c r="E344" s="64">
        <f>SUM('Data cleaning'!N344+'Data cleaning'!Q344+'Data cleaning'!AB344+'Data cleaning'!Z344)</f>
        <v>708.90000000000009</v>
      </c>
      <c r="F344" s="64">
        <f>SUM('Data cleaning'!R344+'Data cleaning'!S344+'Data cleaning'!T344)</f>
        <v>547.9</v>
      </c>
      <c r="G344" s="76">
        <f>SUM('Data cleaning'!U344+'Data cleaning'!W344)</f>
        <v>341.8</v>
      </c>
      <c r="H344" s="64">
        <v>179.1</v>
      </c>
      <c r="I344" s="64">
        <v>166.6</v>
      </c>
      <c r="J344" s="64">
        <v>175.7</v>
      </c>
      <c r="K344" s="64">
        <v>172.6</v>
      </c>
      <c r="L344" s="64">
        <v>175.3</v>
      </c>
      <c r="M344" s="64">
        <f>SUM('Data cleaning'!U344+'Data cleaning'!V344+'Data cleaning'!Y344+'Data cleaning'!AC344)</f>
        <v>687.80000000000007</v>
      </c>
    </row>
    <row r="345" spans="1:13">
      <c r="A345" s="64" t="s">
        <v>33</v>
      </c>
      <c r="B345" s="64">
        <v>2022</v>
      </c>
      <c r="C345" s="64" t="s">
        <v>41</v>
      </c>
      <c r="D345" s="64">
        <f>SUM('Data cleaning'!D345+'Data cleaning'!E345+'Data cleaning'!F345+'Data cleaning'!G345+'Data cleaning'!H345+'Data cleaning'!I345+'Data cleaning'!J345+'Data cleaning'!K345+'Data cleaning'!L345+'Data cleaning'!O345+'Data cleaning'!P345+'Data cleaning'!M345)</f>
        <v>2133.1999999999998</v>
      </c>
      <c r="E345" s="64">
        <f>SUM('Data cleaning'!N345+'Data cleaning'!Q345+'Data cleaning'!AB345+'Data cleaning'!Z345)</f>
        <v>695.7</v>
      </c>
      <c r="F345" s="64">
        <f>SUM('Data cleaning'!R345+'Data cleaning'!S345+'Data cleaning'!T345)</f>
        <v>505.29999999999995</v>
      </c>
      <c r="G345" s="76">
        <f>SUM('Data cleaning'!U345+'Data cleaning'!W345)</f>
        <v>333.2</v>
      </c>
      <c r="H345" s="64">
        <v>178.4</v>
      </c>
      <c r="I345" s="64">
        <v>157.69999999999999</v>
      </c>
      <c r="J345" s="64">
        <v>169.9</v>
      </c>
      <c r="K345" s="64">
        <v>165.4</v>
      </c>
      <c r="L345" s="64">
        <v>173.1</v>
      </c>
      <c r="M345" s="64">
        <f>SUM('Data cleaning'!U345+'Data cleaning'!V345+'Data cleaning'!Y345+'Data cleaning'!AC345)</f>
        <v>670.5</v>
      </c>
    </row>
    <row r="346" spans="1:13">
      <c r="A346" s="64" t="s">
        <v>34</v>
      </c>
      <c r="B346" s="64">
        <v>2022</v>
      </c>
      <c r="C346" s="64" t="s">
        <v>41</v>
      </c>
      <c r="D346" s="64">
        <f>SUM('Data cleaning'!D346+'Data cleaning'!E346+'Data cleaning'!F346+'Data cleaning'!G346+'Data cleaning'!H346+'Data cleaning'!I346+'Data cleaning'!J346+'Data cleaning'!K346+'Data cleaning'!L346+'Data cleaning'!O346+'Data cleaning'!P346+'Data cleaning'!M346)</f>
        <v>2100.4</v>
      </c>
      <c r="E346" s="64">
        <f>SUM('Data cleaning'!N346+'Data cleaning'!Q346+'Data cleaning'!AB346+'Data cleaning'!Z346)</f>
        <v>701.9</v>
      </c>
      <c r="F346" s="64">
        <f>SUM('Data cleaning'!R346+'Data cleaning'!S346+'Data cleaning'!T346)</f>
        <v>530.70000000000005</v>
      </c>
      <c r="G346" s="76">
        <f>SUM('Data cleaning'!U346+'Data cleaning'!W346)</f>
        <v>337.5</v>
      </c>
      <c r="H346" s="64">
        <v>178.8</v>
      </c>
      <c r="I346" s="64">
        <v>161.9</v>
      </c>
      <c r="J346" s="64">
        <v>172.3</v>
      </c>
      <c r="K346" s="64">
        <v>169.1</v>
      </c>
      <c r="L346" s="64">
        <v>174.3</v>
      </c>
      <c r="M346" s="64">
        <f>SUM('Data cleaning'!U346+'Data cleaning'!V346+'Data cleaning'!Y346+'Data cleaning'!AC346)</f>
        <v>678.80000000000007</v>
      </c>
    </row>
    <row r="347" spans="1:13">
      <c r="A347" s="64" t="s">
        <v>30</v>
      </c>
      <c r="B347" s="64">
        <v>2022</v>
      </c>
      <c r="C347" s="64" t="s">
        <v>42</v>
      </c>
      <c r="D347" s="64">
        <f>SUM('Data cleaning'!D347+'Data cleaning'!E347+'Data cleaning'!F347+'Data cleaning'!G347+'Data cleaning'!H347+'Data cleaning'!I347+'Data cleaning'!J347+'Data cleaning'!K347+'Data cleaning'!L347+'Data cleaning'!O347+'Data cleaning'!P347+'Data cleaning'!M347)</f>
        <v>2092.4</v>
      </c>
      <c r="E347" s="64">
        <f>SUM('Data cleaning'!N347+'Data cleaning'!Q347+'Data cleaning'!AB347+'Data cleaning'!Z347)</f>
        <v>710.7</v>
      </c>
      <c r="F347" s="64">
        <f>SUM('Data cleaning'!R347+'Data cleaning'!S347+'Data cleaning'!T347)</f>
        <v>552.5</v>
      </c>
      <c r="G347" s="76">
        <f>SUM('Data cleaning'!U347+'Data cleaning'!W347)</f>
        <v>344.9</v>
      </c>
      <c r="H347" s="64">
        <v>179.7</v>
      </c>
      <c r="I347" s="64">
        <v>166.9</v>
      </c>
      <c r="J347" s="64">
        <v>176.2</v>
      </c>
      <c r="K347" s="64">
        <v>173.1</v>
      </c>
      <c r="L347" s="64">
        <v>176.4</v>
      </c>
      <c r="M347" s="64">
        <f>SUM('Data cleaning'!U347+'Data cleaning'!V347+'Data cleaning'!Y347+'Data cleaning'!AC347)</f>
        <v>691</v>
      </c>
    </row>
    <row r="348" spans="1:13">
      <c r="A348" s="64" t="s">
        <v>33</v>
      </c>
      <c r="B348" s="64">
        <v>2022</v>
      </c>
      <c r="C348" s="64" t="s">
        <v>42</v>
      </c>
      <c r="D348" s="64">
        <f>SUM('Data cleaning'!D348+'Data cleaning'!E348+'Data cleaning'!F348+'Data cleaning'!G348+'Data cleaning'!H348+'Data cleaning'!I348+'Data cleaning'!J348+'Data cleaning'!K348+'Data cleaning'!L348+'Data cleaning'!O348+'Data cleaning'!P348+'Data cleaning'!M348)</f>
        <v>2145.3000000000002</v>
      </c>
      <c r="E348" s="64">
        <f>SUM('Data cleaning'!N348+'Data cleaning'!Q348+'Data cleaning'!AB348+'Data cleaning'!Z348)</f>
        <v>697.7</v>
      </c>
      <c r="F348" s="64">
        <f>SUM('Data cleaning'!R348+'Data cleaning'!S348+'Data cleaning'!T348)</f>
        <v>509.7</v>
      </c>
      <c r="G348" s="76">
        <f>SUM('Data cleaning'!U348+'Data cleaning'!W348)</f>
        <v>334.5</v>
      </c>
      <c r="H348" s="64">
        <v>179.2</v>
      </c>
      <c r="I348" s="64">
        <v>158.19999999999999</v>
      </c>
      <c r="J348" s="64">
        <v>170.9</v>
      </c>
      <c r="K348" s="64">
        <v>166.1</v>
      </c>
      <c r="L348" s="64">
        <v>174.1</v>
      </c>
      <c r="M348" s="64">
        <f>SUM('Data cleaning'!U348+'Data cleaning'!V348+'Data cleaning'!Y348+'Data cleaning'!AC348)</f>
        <v>673</v>
      </c>
    </row>
    <row r="349" spans="1:13">
      <c r="A349" s="64" t="s">
        <v>34</v>
      </c>
      <c r="B349" s="64">
        <v>2022</v>
      </c>
      <c r="C349" s="64" t="s">
        <v>42</v>
      </c>
      <c r="D349" s="64">
        <f>SUM('Data cleaning'!D349+'Data cleaning'!E349+'Data cleaning'!F349+'Data cleaning'!G349+'Data cleaning'!H349+'Data cleaning'!I349+'Data cleaning'!J349+'Data cleaning'!K349+'Data cleaning'!L349+'Data cleaning'!O349+'Data cleaning'!P349+'Data cleaning'!M349)</f>
        <v>2111.5</v>
      </c>
      <c r="E349" s="64">
        <f>SUM('Data cleaning'!N349+'Data cleaning'!Q349+'Data cleaning'!AB349+'Data cleaning'!Z349)</f>
        <v>703.80000000000007</v>
      </c>
      <c r="F349" s="64">
        <f>SUM('Data cleaning'!R349+'Data cleaning'!S349+'Data cleaning'!T349)</f>
        <v>535.1</v>
      </c>
      <c r="G349" s="76">
        <f>SUM('Data cleaning'!U349+'Data cleaning'!W349)</f>
        <v>339</v>
      </c>
      <c r="H349" s="64">
        <v>179.5</v>
      </c>
      <c r="I349" s="64">
        <v>162.30000000000001</v>
      </c>
      <c r="J349" s="64">
        <v>173.1</v>
      </c>
      <c r="K349" s="64">
        <v>169.7</v>
      </c>
      <c r="L349" s="64">
        <v>175.3</v>
      </c>
      <c r="M349" s="64">
        <f>SUM('Data cleaning'!U349+'Data cleaning'!V349+'Data cleaning'!Y349+'Data cleaning'!AC349)</f>
        <v>681</v>
      </c>
    </row>
    <row r="350" spans="1:13">
      <c r="A350" s="64" t="s">
        <v>30</v>
      </c>
      <c r="B350" s="64">
        <v>2022</v>
      </c>
      <c r="C350" s="64" t="s">
        <v>43</v>
      </c>
      <c r="D350" s="64">
        <f>SUM('Data cleaning'!D350+'Data cleaning'!E350+'Data cleaning'!F350+'Data cleaning'!G350+'Data cleaning'!H350+'Data cleaning'!I350+'Data cleaning'!J350+'Data cleaning'!K350+'Data cleaning'!L350+'Data cleaning'!O350+'Data cleaning'!P350+'Data cleaning'!M350)</f>
        <v>2108.6999999999998</v>
      </c>
      <c r="E350" s="64">
        <f>SUM('Data cleaning'!N350+'Data cleaning'!Q350+'Data cleaning'!AB350+'Data cleaning'!Z350)</f>
        <v>713.30000000000007</v>
      </c>
      <c r="F350" s="64">
        <f>SUM('Data cleaning'!R350+'Data cleaning'!S350+'Data cleaning'!T350)</f>
        <v>556.4</v>
      </c>
      <c r="G350" s="76">
        <f>SUM('Data cleaning'!U350+'Data cleaning'!W350)</f>
        <v>346.20000000000005</v>
      </c>
      <c r="H350" s="64">
        <v>180.8</v>
      </c>
      <c r="I350" s="64">
        <v>167.4</v>
      </c>
      <c r="J350" s="64">
        <v>176.5</v>
      </c>
      <c r="K350" s="64">
        <v>173.9</v>
      </c>
      <c r="L350" s="64">
        <v>177.9</v>
      </c>
      <c r="M350" s="64">
        <f>SUM('Data cleaning'!U350+'Data cleaning'!V350+'Data cleaning'!Y350+'Data cleaning'!AC350)</f>
        <v>693.9</v>
      </c>
    </row>
    <row r="351" spans="1:13">
      <c r="A351" s="64" t="s">
        <v>33</v>
      </c>
      <c r="B351" s="64">
        <v>2022</v>
      </c>
      <c r="C351" s="64" t="s">
        <v>43</v>
      </c>
      <c r="D351" s="64">
        <f>SUM('Data cleaning'!D351+'Data cleaning'!E351+'Data cleaning'!F351+'Data cleaning'!G351+'Data cleaning'!H351+'Data cleaning'!I351+'Data cleaning'!J351+'Data cleaning'!K351+'Data cleaning'!L351+'Data cleaning'!O351+'Data cleaning'!P351+'Data cleaning'!M351)</f>
        <v>2160.7000000000003</v>
      </c>
      <c r="E351" s="64">
        <f>SUM('Data cleaning'!N351+'Data cleaning'!Q351+'Data cleaning'!AB351+'Data cleaning'!Z351)</f>
        <v>700.3</v>
      </c>
      <c r="F351" s="64">
        <f>SUM('Data cleaning'!R351+'Data cleaning'!S351+'Data cleaning'!T351)</f>
        <v>511.70000000000005</v>
      </c>
      <c r="G351" s="76">
        <f>SUM('Data cleaning'!U351+'Data cleaning'!W351)</f>
        <v>337.2</v>
      </c>
      <c r="H351" s="64">
        <v>180</v>
      </c>
      <c r="I351" s="64">
        <v>158.80000000000001</v>
      </c>
      <c r="J351" s="64">
        <v>171.2</v>
      </c>
      <c r="K351" s="64">
        <v>166.8</v>
      </c>
      <c r="L351" s="64">
        <v>175.3</v>
      </c>
      <c r="M351" s="64">
        <f>SUM('Data cleaning'!U351+'Data cleaning'!V351+'Data cleaning'!Y351+'Data cleaning'!AC351)</f>
        <v>676.8</v>
      </c>
    </row>
    <row r="352" spans="1:13">
      <c r="A352" s="64" t="s">
        <v>34</v>
      </c>
      <c r="B352" s="64">
        <v>2022</v>
      </c>
      <c r="C352" s="64" t="s">
        <v>43</v>
      </c>
      <c r="D352" s="64">
        <f>SUM('Data cleaning'!D352+'Data cleaning'!E352+'Data cleaning'!F352+'Data cleaning'!G352+'Data cleaning'!H352+'Data cleaning'!I352+'Data cleaning'!J352+'Data cleaning'!K352+'Data cleaning'!L352+'Data cleaning'!O352+'Data cleaning'!P352+'Data cleaning'!M352)</f>
        <v>2127.4</v>
      </c>
      <c r="E352" s="64">
        <f>SUM('Data cleaning'!N352+'Data cleaning'!Q352+'Data cleaning'!AB352+'Data cleaning'!Z352)</f>
        <v>706.5</v>
      </c>
      <c r="F352" s="64">
        <f>SUM('Data cleaning'!R352+'Data cleaning'!S352+'Data cleaning'!T352)</f>
        <v>538.20000000000005</v>
      </c>
      <c r="G352" s="76">
        <f>SUM('Data cleaning'!U352+'Data cleaning'!W352)</f>
        <v>341.6</v>
      </c>
      <c r="H352" s="64">
        <v>180.5</v>
      </c>
      <c r="I352" s="64">
        <v>162.9</v>
      </c>
      <c r="J352" s="64">
        <v>173.4</v>
      </c>
      <c r="K352" s="64">
        <v>170.5</v>
      </c>
      <c r="L352" s="64">
        <v>176.7</v>
      </c>
      <c r="M352" s="64">
        <f>SUM('Data cleaning'!U352+'Data cleaning'!V352+'Data cleaning'!Y352+'Data cleaning'!AC352)</f>
        <v>685.1</v>
      </c>
    </row>
    <row r="353" spans="1:13">
      <c r="A353" s="64" t="s">
        <v>30</v>
      </c>
      <c r="B353" s="64">
        <v>2022</v>
      </c>
      <c r="C353" s="64" t="s">
        <v>45</v>
      </c>
      <c r="D353" s="64">
        <f>SUM('Data cleaning'!D353+'Data cleaning'!E353+'Data cleaning'!F353+'Data cleaning'!G353+'Data cleaning'!H353+'Data cleaning'!I353+'Data cleaning'!J353+'Data cleaning'!K353+'Data cleaning'!L353+'Data cleaning'!O353+'Data cleaning'!P353+'Data cleaning'!M353)</f>
        <v>2111.2999999999997</v>
      </c>
      <c r="E353" s="64">
        <f>SUM('Data cleaning'!N353+'Data cleaning'!Q353+'Data cleaning'!AB353+'Data cleaning'!Z353)</f>
        <v>716.09999999999991</v>
      </c>
      <c r="F353" s="64">
        <f>SUM('Data cleaning'!R353+'Data cleaning'!S353+'Data cleaning'!T353)</f>
        <v>559.29999999999995</v>
      </c>
      <c r="G353" s="76">
        <f>SUM('Data cleaning'!U353+'Data cleaning'!W353)</f>
        <v>346.2</v>
      </c>
      <c r="H353" s="64">
        <v>181.9</v>
      </c>
      <c r="I353" s="64">
        <v>167.5</v>
      </c>
      <c r="J353" s="64">
        <v>176.9</v>
      </c>
      <c r="K353" s="64">
        <v>174.6</v>
      </c>
      <c r="L353" s="64">
        <v>177.8</v>
      </c>
      <c r="M353" s="64">
        <f>SUM('Data cleaning'!U353+'Data cleaning'!V353+'Data cleaning'!Y353+'Data cleaning'!AC353)</f>
        <v>694.7</v>
      </c>
    </row>
    <row r="354" spans="1:13">
      <c r="A354" s="64" t="s">
        <v>33</v>
      </c>
      <c r="B354" s="64">
        <v>2022</v>
      </c>
      <c r="C354" s="64" t="s">
        <v>45</v>
      </c>
      <c r="D354" s="64">
        <f>SUM('Data cleaning'!D354+'Data cleaning'!E354+'Data cleaning'!F354+'Data cleaning'!G354+'Data cleaning'!H354+'Data cleaning'!I354+'Data cleaning'!J354+'Data cleaning'!K354+'Data cleaning'!L354+'Data cleaning'!O354+'Data cleaning'!P354+'Data cleaning'!M354)</f>
        <v>2152.3000000000002</v>
      </c>
      <c r="E354" s="64">
        <f>SUM('Data cleaning'!N354+'Data cleaning'!Q354+'Data cleaning'!AB354+'Data cleaning'!Z354)</f>
        <v>703.2</v>
      </c>
      <c r="F354" s="64">
        <f>SUM('Data cleaning'!R354+'Data cleaning'!S354+'Data cleaning'!T354)</f>
        <v>514.9</v>
      </c>
      <c r="G354" s="76">
        <f>SUM('Data cleaning'!U354+'Data cleaning'!W354)</f>
        <v>338.70000000000005</v>
      </c>
      <c r="H354" s="64">
        <v>180.3</v>
      </c>
      <c r="I354" s="64">
        <v>158.9</v>
      </c>
      <c r="J354" s="64">
        <v>171.5</v>
      </c>
      <c r="K354" s="64">
        <v>167.4</v>
      </c>
      <c r="L354" s="64">
        <v>174.1</v>
      </c>
      <c r="M354" s="64">
        <f>SUM('Data cleaning'!U354+'Data cleaning'!V354+'Data cleaning'!Y354+'Data cleaning'!AC354)</f>
        <v>678.4</v>
      </c>
    </row>
    <row r="355" spans="1:13">
      <c r="A355" s="64" t="s">
        <v>34</v>
      </c>
      <c r="B355" s="64">
        <v>2022</v>
      </c>
      <c r="C355" s="64" t="s">
        <v>45</v>
      </c>
      <c r="D355" s="64">
        <f>SUM('Data cleaning'!D355+'Data cleaning'!E355+'Data cleaning'!F355+'Data cleaning'!G355+'Data cleaning'!H355+'Data cleaning'!I355+'Data cleaning'!J355+'Data cleaning'!K355+'Data cleaning'!L355+'Data cleaning'!O355+'Data cleaning'!P355+'Data cleaning'!M355)</f>
        <v>2126.3999999999996</v>
      </c>
      <c r="E355" s="64">
        <f>SUM('Data cleaning'!N355+'Data cleaning'!Q355+'Data cleaning'!AB355+'Data cleaning'!Z355)</f>
        <v>709.4</v>
      </c>
      <c r="F355" s="64">
        <f>SUM('Data cleaning'!R355+'Data cleaning'!S355+'Data cleaning'!T355)</f>
        <v>541.4</v>
      </c>
      <c r="G355" s="76">
        <f>SUM('Data cleaning'!U355+'Data cleaning'!W355)</f>
        <v>343.20000000000005</v>
      </c>
      <c r="H355" s="64">
        <v>181.3</v>
      </c>
      <c r="I355" s="64">
        <v>163</v>
      </c>
      <c r="J355" s="64">
        <v>173.7</v>
      </c>
      <c r="K355" s="64">
        <v>171.1</v>
      </c>
      <c r="L355" s="64">
        <v>176.5</v>
      </c>
      <c r="M355" s="64">
        <f>SUM('Data cleaning'!U355+'Data cleaning'!V355+'Data cleaning'!Y355+'Data cleaning'!AC355)</f>
        <v>687.2</v>
      </c>
    </row>
    <row r="356" spans="1:13">
      <c r="A356" s="64" t="s">
        <v>30</v>
      </c>
      <c r="B356" s="64">
        <v>2022</v>
      </c>
      <c r="C356" s="64" t="s">
        <v>46</v>
      </c>
      <c r="D356" s="64">
        <f>SUM('Data cleaning'!D356+'Data cleaning'!E356+'Data cleaning'!F356+'Data cleaning'!G356+'Data cleaning'!H356+'Data cleaning'!I356+'Data cleaning'!J356+'Data cleaning'!K356+'Data cleaning'!L356+'Data cleaning'!O356+'Data cleaning'!P356+'Data cleaning'!M356)</f>
        <v>2100.3000000000002</v>
      </c>
      <c r="E356" s="64">
        <f>SUM('Data cleaning'!N356+'Data cleaning'!Q356+'Data cleaning'!AB356+'Data cleaning'!Z356)</f>
        <v>719.60000000000014</v>
      </c>
      <c r="F356" s="64">
        <f>SUM('Data cleaning'!R356+'Data cleaning'!S356+'Data cleaning'!T356)</f>
        <v>561.79999999999995</v>
      </c>
      <c r="G356" s="76">
        <f>SUM('Data cleaning'!U356+'Data cleaning'!W356)</f>
        <v>348.5</v>
      </c>
      <c r="H356" s="64">
        <v>182.8</v>
      </c>
      <c r="I356" s="64">
        <v>167.8</v>
      </c>
      <c r="J356" s="64">
        <v>177.3</v>
      </c>
      <c r="K356" s="64">
        <v>175.5</v>
      </c>
      <c r="L356" s="64">
        <v>177.1</v>
      </c>
      <c r="M356" s="64">
        <f>SUM('Data cleaning'!U356+'Data cleaning'!V356+'Data cleaning'!Y356+'Data cleaning'!AC356)</f>
        <v>698.2</v>
      </c>
    </row>
    <row r="357" spans="1:13">
      <c r="A357" s="64" t="s">
        <v>33</v>
      </c>
      <c r="B357" s="64">
        <v>2022</v>
      </c>
      <c r="C357" s="64" t="s">
        <v>46</v>
      </c>
      <c r="D357" s="64">
        <f>SUM('Data cleaning'!D357+'Data cleaning'!E357+'Data cleaning'!F357+'Data cleaning'!G357+'Data cleaning'!H357+'Data cleaning'!I357+'Data cleaning'!J357+'Data cleaning'!K357+'Data cleaning'!L357+'Data cleaning'!O357+'Data cleaning'!P357+'Data cleaning'!M357)</f>
        <v>2133</v>
      </c>
      <c r="E357" s="64">
        <f>SUM('Data cleaning'!N357+'Data cleaning'!Q357+'Data cleaning'!AB357+'Data cleaning'!Z357)</f>
        <v>707</v>
      </c>
      <c r="F357" s="64">
        <f>SUM('Data cleaning'!R357+'Data cleaning'!S357+'Data cleaning'!T357)</f>
        <v>517.9</v>
      </c>
      <c r="G357" s="76">
        <f>SUM('Data cleaning'!U357+'Data cleaning'!W357)</f>
        <v>338</v>
      </c>
      <c r="H357" s="64">
        <v>180.6</v>
      </c>
      <c r="I357" s="64">
        <v>159.4</v>
      </c>
      <c r="J357" s="64">
        <v>171.8</v>
      </c>
      <c r="K357" s="64">
        <v>168.2</v>
      </c>
      <c r="L357" s="64">
        <v>174.1</v>
      </c>
      <c r="M357" s="64">
        <f>SUM('Data cleaning'!U357+'Data cleaning'!V357+'Data cleaning'!Y357+'Data cleaning'!AC357)</f>
        <v>678.89999999999986</v>
      </c>
    </row>
    <row r="358" spans="1:13">
      <c r="A358" s="64" t="s">
        <v>34</v>
      </c>
      <c r="B358" s="64">
        <v>2022</v>
      </c>
      <c r="C358" s="64" t="s">
        <v>46</v>
      </c>
      <c r="D358" s="64">
        <f>SUM('Data cleaning'!D358+'Data cleaning'!E358+'Data cleaning'!F358+'Data cleaning'!G358+'Data cleaning'!H358+'Data cleaning'!I358+'Data cleaning'!J358+'Data cleaning'!K358+'Data cleaning'!L358+'Data cleaning'!O358+'Data cleaning'!P358+'Data cleaning'!M358)</f>
        <v>2112.4</v>
      </c>
      <c r="E358" s="64">
        <f>SUM('Data cleaning'!N358+'Data cleaning'!Q358+'Data cleaning'!AB358+'Data cleaning'!Z358)</f>
        <v>713</v>
      </c>
      <c r="F358" s="64">
        <f>SUM('Data cleaning'!R358+'Data cleaning'!S358+'Data cleaning'!T358)</f>
        <v>544</v>
      </c>
      <c r="G358" s="76">
        <f>SUM('Data cleaning'!U358+'Data cleaning'!W358)</f>
        <v>342.79999999999995</v>
      </c>
      <c r="H358" s="64">
        <v>182</v>
      </c>
      <c r="I358" s="64">
        <v>163.4</v>
      </c>
      <c r="J358" s="64">
        <v>174.1</v>
      </c>
      <c r="K358" s="64">
        <v>172</v>
      </c>
      <c r="L358" s="64">
        <v>175.7</v>
      </c>
      <c r="M358" s="64">
        <f>SUM('Data cleaning'!U358+'Data cleaning'!V358+'Data cleaning'!Y358+'Data cleaning'!AC358)</f>
        <v>688.1</v>
      </c>
    </row>
    <row r="359" spans="1:13">
      <c r="A359" s="64" t="s">
        <v>30</v>
      </c>
      <c r="B359" s="64">
        <v>2023</v>
      </c>
      <c r="C359" s="64" t="s">
        <v>31</v>
      </c>
      <c r="D359" s="64">
        <f>SUM('Data cleaning'!D359+'Data cleaning'!E359+'Data cleaning'!F359+'Data cleaning'!G359+'Data cleaning'!H359+'Data cleaning'!I359+'Data cleaning'!J359+'Data cleaning'!K359+'Data cleaning'!L359+'Data cleaning'!O359+'Data cleaning'!P359+'Data cleaning'!M359)</f>
        <v>2106.3000000000002</v>
      </c>
      <c r="E359" s="64">
        <f>SUM('Data cleaning'!N359+'Data cleaning'!Q359+'Data cleaning'!AB359+'Data cleaning'!Z359)</f>
        <v>724</v>
      </c>
      <c r="F359" s="64">
        <f>SUM('Data cleaning'!R359+'Data cleaning'!S359+'Data cleaning'!T359)</f>
        <v>563.9</v>
      </c>
      <c r="G359" s="76">
        <f>SUM('Data cleaning'!U359+'Data cleaning'!W359)</f>
        <v>350.7</v>
      </c>
      <c r="H359" s="64">
        <v>183.2</v>
      </c>
      <c r="I359" s="64">
        <v>168.2</v>
      </c>
      <c r="J359" s="64">
        <v>177.8</v>
      </c>
      <c r="K359" s="64">
        <v>176.5</v>
      </c>
      <c r="L359" s="64">
        <v>177.8</v>
      </c>
      <c r="M359" s="64">
        <f>SUM('Data cleaning'!U359+'Data cleaning'!V359+'Data cleaning'!Y359+'Data cleaning'!AC359)</f>
        <v>701.4</v>
      </c>
    </row>
    <row r="360" spans="1:13">
      <c r="A360" s="64" t="s">
        <v>33</v>
      </c>
      <c r="B360" s="64">
        <v>2023</v>
      </c>
      <c r="C360" s="64" t="s">
        <v>31</v>
      </c>
      <c r="D360" s="64">
        <f>SUM('Data cleaning'!D360+'Data cleaning'!E360+'Data cleaning'!F360+'Data cleaning'!G360+'Data cleaning'!H360+'Data cleaning'!I360+'Data cleaning'!J360+'Data cleaning'!K360+'Data cleaning'!L360+'Data cleaning'!O360+'Data cleaning'!P360+'Data cleaning'!M360)</f>
        <v>2146.5</v>
      </c>
      <c r="E360" s="64">
        <f>SUM('Data cleaning'!N360+'Data cleaning'!Q360+'Data cleaning'!AB360+'Data cleaning'!Z360)</f>
        <v>711.89999999999986</v>
      </c>
      <c r="F360" s="64">
        <f>SUM('Data cleaning'!R360+'Data cleaning'!S360+'Data cleaning'!T360)</f>
        <v>520.6</v>
      </c>
      <c r="G360" s="76">
        <f>SUM('Data cleaning'!U360+'Data cleaning'!W360)</f>
        <v>340.1</v>
      </c>
      <c r="H360" s="64">
        <v>180.1</v>
      </c>
      <c r="I360" s="64">
        <v>159.5</v>
      </c>
      <c r="J360" s="64">
        <v>171.8</v>
      </c>
      <c r="K360" s="64">
        <v>168.9</v>
      </c>
      <c r="L360" s="64">
        <v>174.9</v>
      </c>
      <c r="M360" s="64">
        <f>SUM('Data cleaning'!U360+'Data cleaning'!V360+'Data cleaning'!Y360+'Data cleaning'!AC360)</f>
        <v>680.6</v>
      </c>
    </row>
    <row r="361" spans="1:13">
      <c r="A361" s="64" t="s">
        <v>34</v>
      </c>
      <c r="B361" s="64">
        <v>2023</v>
      </c>
      <c r="C361" s="64" t="s">
        <v>31</v>
      </c>
      <c r="D361" s="64">
        <f>SUM('Data cleaning'!D361+'Data cleaning'!E361+'Data cleaning'!F361+'Data cleaning'!G361+'Data cleaning'!H361+'Data cleaning'!I361+'Data cleaning'!J361+'Data cleaning'!K361+'Data cleaning'!L361+'Data cleaning'!O361+'Data cleaning'!P361+'Data cleaning'!M361)</f>
        <v>2121.3000000000002</v>
      </c>
      <c r="E361" s="64">
        <f>SUM('Data cleaning'!N361+'Data cleaning'!Q361+'Data cleaning'!AB361+'Data cleaning'!Z361)</f>
        <v>717.7</v>
      </c>
      <c r="F361" s="64">
        <f>SUM('Data cleaning'!R361+'Data cleaning'!S361+'Data cleaning'!T361)</f>
        <v>546.29999999999995</v>
      </c>
      <c r="G361" s="76">
        <f>SUM('Data cleaning'!U361+'Data cleaning'!W361)</f>
        <v>345</v>
      </c>
      <c r="H361" s="64">
        <v>182</v>
      </c>
      <c r="I361" s="64">
        <v>163.6</v>
      </c>
      <c r="J361" s="64">
        <v>174.3</v>
      </c>
      <c r="K361" s="64">
        <v>172.8</v>
      </c>
      <c r="L361" s="64">
        <v>176.5</v>
      </c>
      <c r="M361" s="64">
        <f>SUM('Data cleaning'!U361+'Data cleaning'!V361+'Data cleaning'!Y361+'Data cleaning'!AC361)</f>
        <v>690.5</v>
      </c>
    </row>
    <row r="362" spans="1:13">
      <c r="A362" s="64" t="s">
        <v>30</v>
      </c>
      <c r="B362" s="64">
        <v>2023</v>
      </c>
      <c r="C362" s="64" t="s">
        <v>35</v>
      </c>
      <c r="D362" s="64">
        <f>SUM('Data cleaning'!D362+'Data cleaning'!E362+'Data cleaning'!F362+'Data cleaning'!G362+'Data cleaning'!H362+'Data cleaning'!I362+'Data cleaning'!J362+'Data cleaning'!K362+'Data cleaning'!L362+'Data cleaning'!O362+'Data cleaning'!P362+'Data cleaning'!M362)</f>
        <v>2088.1</v>
      </c>
      <c r="E362" s="64">
        <f>SUM('Data cleaning'!N362+'Data cleaning'!Q362+'Data cleaning'!AB362+'Data cleaning'!Z362)</f>
        <v>729.39999999999986</v>
      </c>
      <c r="F362" s="64">
        <f>SUM('Data cleaning'!R362+'Data cleaning'!S362+'Data cleaning'!T362)</f>
        <v>566.6</v>
      </c>
      <c r="G362" s="76">
        <f>SUM('Data cleaning'!U362+'Data cleaning'!W362)</f>
        <v>352.1</v>
      </c>
      <c r="H362" s="64">
        <v>181.6</v>
      </c>
      <c r="I362" s="64">
        <v>169</v>
      </c>
      <c r="J362" s="64">
        <v>178.5</v>
      </c>
      <c r="K362" s="64">
        <v>177.9</v>
      </c>
      <c r="L362" s="64">
        <v>178</v>
      </c>
      <c r="M362" s="64">
        <f>SUM('Data cleaning'!U362+'Data cleaning'!V362+'Data cleaning'!Y362+'Data cleaning'!AC362)</f>
        <v>702</v>
      </c>
    </row>
    <row r="363" spans="1:13">
      <c r="A363" s="64" t="s">
        <v>33</v>
      </c>
      <c r="B363" s="64">
        <v>2023</v>
      </c>
      <c r="C363" s="64" t="s">
        <v>35</v>
      </c>
      <c r="D363" s="64">
        <f>SUM('Data cleaning'!D363+'Data cleaning'!E363+'Data cleaning'!F363+'Data cleaning'!G363+'Data cleaning'!H363+'Data cleaning'!I363+'Data cleaning'!J363+'Data cleaning'!K363+'Data cleaning'!L363+'Data cleaning'!O363+'Data cleaning'!P363+'Data cleaning'!M363)</f>
        <v>2138.2999999999997</v>
      </c>
      <c r="E363" s="64">
        <f>SUM('Data cleaning'!N363+'Data cleaning'!Q363+'Data cleaning'!AB363+'Data cleaning'!Z363)</f>
        <v>717.4</v>
      </c>
      <c r="F363" s="64">
        <f>SUM('Data cleaning'!R363+'Data cleaning'!S363+'Data cleaning'!T363)</f>
        <v>525.5</v>
      </c>
      <c r="G363" s="76">
        <f>SUM('Data cleaning'!U363+'Data cleaning'!W363)</f>
        <v>342.7</v>
      </c>
      <c r="H363" s="64">
        <v>182.8</v>
      </c>
      <c r="I363" s="64">
        <v>159.80000000000001</v>
      </c>
      <c r="J363" s="64">
        <v>172.5</v>
      </c>
      <c r="K363" s="64">
        <v>170</v>
      </c>
      <c r="L363" s="64">
        <v>176.3</v>
      </c>
      <c r="M363" s="64">
        <f>SUM('Data cleaning'!U363+'Data cleaning'!V363+'Data cleaning'!Y363+'Data cleaning'!AC363)</f>
        <v>686.1</v>
      </c>
    </row>
    <row r="364" spans="1:13">
      <c r="A364" s="64" t="s">
        <v>34</v>
      </c>
      <c r="B364" s="64">
        <v>2023</v>
      </c>
      <c r="C364" s="64" t="s">
        <v>35</v>
      </c>
      <c r="D364" s="64">
        <f>SUM('Data cleaning'!D364+'Data cleaning'!E364+'Data cleaning'!F364+'Data cleaning'!G364+'Data cleaning'!H364+'Data cleaning'!I364+'Data cleaning'!J364+'Data cleaning'!K364+'Data cleaning'!L364+'Data cleaning'!O364+'Data cleaning'!P364+'Data cleaning'!M364)</f>
        <v>2106.7999999999997</v>
      </c>
      <c r="E364" s="64">
        <f>SUM('Data cleaning'!N364+'Data cleaning'!Q364+'Data cleaning'!AB364+'Data cleaning'!Z364)</f>
        <v>723.09999999999991</v>
      </c>
      <c r="F364" s="64">
        <f>SUM('Data cleaning'!R364+'Data cleaning'!S364+'Data cleaning'!T364)</f>
        <v>550</v>
      </c>
      <c r="G364" s="76">
        <f>SUM('Data cleaning'!U364+'Data cleaning'!W364)</f>
        <v>349.4</v>
      </c>
      <c r="H364" s="64">
        <v>182.1</v>
      </c>
      <c r="I364" s="64">
        <v>164.2</v>
      </c>
      <c r="J364" s="64">
        <v>175</v>
      </c>
      <c r="K364" s="64">
        <v>174.1</v>
      </c>
      <c r="L364" s="64">
        <v>177.2</v>
      </c>
      <c r="M364" s="64">
        <f>SUM('Data cleaning'!U364+'Data cleaning'!V364+'Data cleaning'!Y364+'Data cleaning'!AC364)</f>
        <v>695.6</v>
      </c>
    </row>
    <row r="365" spans="1:13">
      <c r="A365" s="64" t="s">
        <v>30</v>
      </c>
      <c r="B365" s="64">
        <v>2023</v>
      </c>
      <c r="C365" s="64" t="s">
        <v>36</v>
      </c>
      <c r="D365" s="64">
        <f>SUM('Data cleaning'!D365+'Data cleaning'!E365+'Data cleaning'!F365+'Data cleaning'!G365+'Data cleaning'!H365+'Data cleaning'!I365+'Data cleaning'!J365+'Data cleaning'!K365+'Data cleaning'!L365+'Data cleaning'!O365+'Data cleaning'!P365+'Data cleaning'!M365)</f>
        <v>2088.2000000000003</v>
      </c>
      <c r="E365" s="64">
        <f>SUM('Data cleaning'!N365+'Data cleaning'!Q365+'Data cleaning'!AB365+'Data cleaning'!Z365)</f>
        <v>729.5</v>
      </c>
      <c r="F365" s="64">
        <f>SUM('Data cleaning'!R365+'Data cleaning'!S365+'Data cleaning'!T365)</f>
        <v>566.6</v>
      </c>
      <c r="G365" s="76">
        <f>SUM('Data cleaning'!U365+'Data cleaning'!W365)</f>
        <v>352.1</v>
      </c>
      <c r="H365" s="64">
        <v>181.4</v>
      </c>
      <c r="I365" s="64">
        <v>169</v>
      </c>
      <c r="J365" s="64">
        <v>178.5</v>
      </c>
      <c r="K365" s="64">
        <v>177.9</v>
      </c>
      <c r="L365" s="64">
        <v>178</v>
      </c>
      <c r="M365" s="64">
        <f>SUM('Data cleaning'!U365+'Data cleaning'!V365+'Data cleaning'!Y365+'Data cleaning'!AC365)</f>
        <v>701.8</v>
      </c>
    </row>
    <row r="366" spans="1:13">
      <c r="A366" s="64" t="s">
        <v>33</v>
      </c>
      <c r="B366" s="64">
        <v>2023</v>
      </c>
      <c r="C366" s="64" t="s">
        <v>36</v>
      </c>
      <c r="D366" s="64">
        <f>SUM('Data cleaning'!D366+'Data cleaning'!E366+'Data cleaning'!F366+'Data cleaning'!G366+'Data cleaning'!H366+'Data cleaning'!I366+'Data cleaning'!J366+'Data cleaning'!K366+'Data cleaning'!L366+'Data cleaning'!O366+'Data cleaning'!P366+'Data cleaning'!M366)</f>
        <v>2138.5</v>
      </c>
      <c r="E366" s="64">
        <f>SUM('Data cleaning'!N366+'Data cleaning'!Q366+'Data cleaning'!AB366+'Data cleaning'!Z366)</f>
        <v>717.5</v>
      </c>
      <c r="F366" s="64">
        <f>SUM('Data cleaning'!R366+'Data cleaning'!S366+'Data cleaning'!T366)</f>
        <v>525.4</v>
      </c>
      <c r="G366" s="76">
        <f>SUM('Data cleaning'!U366+'Data cleaning'!W366)</f>
        <v>342.7</v>
      </c>
      <c r="H366" s="64">
        <v>182.6</v>
      </c>
      <c r="I366" s="64">
        <v>159.80000000000001</v>
      </c>
      <c r="J366" s="64">
        <v>172.5</v>
      </c>
      <c r="K366" s="64">
        <v>170</v>
      </c>
      <c r="L366" s="64">
        <v>176.3</v>
      </c>
      <c r="M366" s="64">
        <f>SUM('Data cleaning'!U366+'Data cleaning'!V366+'Data cleaning'!Y366+'Data cleaning'!AC366)</f>
        <v>685.90000000000009</v>
      </c>
    </row>
    <row r="367" spans="1:13">
      <c r="A367" s="64" t="s">
        <v>34</v>
      </c>
      <c r="B367" s="64">
        <v>2023</v>
      </c>
      <c r="C367" s="64" t="s">
        <v>36</v>
      </c>
      <c r="D367" s="64">
        <f>SUM('Data cleaning'!D367+'Data cleaning'!E367+'Data cleaning'!F367+'Data cleaning'!G367+'Data cleaning'!H367+'Data cleaning'!I367+'Data cleaning'!J367+'Data cleaning'!K367+'Data cleaning'!L367+'Data cleaning'!O367+'Data cleaning'!P367+'Data cleaning'!M367)</f>
        <v>2106.8999999999996</v>
      </c>
      <c r="E367" s="64">
        <f>SUM('Data cleaning'!N367+'Data cleaning'!Q367+'Data cleaning'!AB367+'Data cleaning'!Z367)</f>
        <v>723.09999999999991</v>
      </c>
      <c r="F367" s="64">
        <f>SUM('Data cleaning'!R367+'Data cleaning'!S367+'Data cleaning'!T367)</f>
        <v>549.9</v>
      </c>
      <c r="G367" s="76">
        <f>SUM('Data cleaning'!U367+'Data cleaning'!W367)</f>
        <v>347.7</v>
      </c>
      <c r="H367" s="64">
        <v>181.9</v>
      </c>
      <c r="I367" s="64">
        <v>164.2</v>
      </c>
      <c r="J367" s="64">
        <v>175</v>
      </c>
      <c r="K367" s="64">
        <v>174.1</v>
      </c>
      <c r="L367" s="64">
        <v>177.2</v>
      </c>
      <c r="M367" s="64">
        <f>SUM('Data cleaning'!U367+'Data cleaning'!V367+'Data cleaning'!Y367+'Data cleaning'!AC367)</f>
        <v>693.69999999999993</v>
      </c>
    </row>
    <row r="368" spans="1:13">
      <c r="A368" s="64" t="s">
        <v>30</v>
      </c>
      <c r="B368" s="64">
        <v>2023</v>
      </c>
      <c r="C368" s="64" t="s">
        <v>37</v>
      </c>
      <c r="D368" s="64">
        <f>SUM('Data cleaning'!D368+'Data cleaning'!E368+'Data cleaning'!F368+'Data cleaning'!G368+'Data cleaning'!H368+'Data cleaning'!I368+'Data cleaning'!J368+'Data cleaning'!K368+'Data cleaning'!L368+'Data cleaning'!O368+'Data cleaning'!P368+'Data cleaning'!M368)</f>
        <v>2096</v>
      </c>
      <c r="E368" s="64">
        <f>SUM('Data cleaning'!N368+'Data cleaning'!Q368+'Data cleaning'!AB368+'Data cleaning'!Z368)</f>
        <v>734.7</v>
      </c>
      <c r="F368" s="64">
        <f>SUM('Data cleaning'!R368+'Data cleaning'!S368+'Data cleaning'!T368)</f>
        <v>568.20000000000005</v>
      </c>
      <c r="G368" s="76">
        <f>SUM('Data cleaning'!U368+'Data cleaning'!W368)</f>
        <v>354.29999999999995</v>
      </c>
      <c r="H368" s="64">
        <v>181.5</v>
      </c>
      <c r="I368" s="64">
        <v>169.4</v>
      </c>
      <c r="J368" s="64">
        <v>179.4</v>
      </c>
      <c r="K368" s="64">
        <v>178.9</v>
      </c>
      <c r="L368" s="64">
        <v>178.8</v>
      </c>
      <c r="M368" s="64">
        <f>SUM('Data cleaning'!U368+'Data cleaning'!V368+'Data cleaning'!Y368+'Data cleaning'!AC368)</f>
        <v>705</v>
      </c>
    </row>
    <row r="369" spans="1:13">
      <c r="A369" s="64" t="s">
        <v>33</v>
      </c>
      <c r="B369" s="64">
        <v>2023</v>
      </c>
      <c r="C369" s="64" t="s">
        <v>37</v>
      </c>
      <c r="D369" s="64">
        <f>SUM('Data cleaning'!D369+'Data cleaning'!E369+'Data cleaning'!F369+'Data cleaning'!G369+'Data cleaning'!H369+'Data cleaning'!I369+'Data cleaning'!J369+'Data cleaning'!K369+'Data cleaning'!L369+'Data cleaning'!O369+'Data cleaning'!P369+'Data cleaning'!M369)</f>
        <v>2152.2000000000003</v>
      </c>
      <c r="E369" s="64">
        <f>SUM('Data cleaning'!N369+'Data cleaning'!Q369+'Data cleaning'!AB369+'Data cleaning'!Z369)</f>
        <v>722.2</v>
      </c>
      <c r="F369" s="64">
        <f>SUM('Data cleaning'!R369+'Data cleaning'!S369+'Data cleaning'!T369)</f>
        <v>527.6</v>
      </c>
      <c r="G369" s="76">
        <f>SUM('Data cleaning'!U369+'Data cleaning'!W369)</f>
        <v>344.79999999999995</v>
      </c>
      <c r="H369" s="64">
        <v>182.1</v>
      </c>
      <c r="I369" s="64">
        <v>160.1</v>
      </c>
      <c r="J369" s="64">
        <v>174.2</v>
      </c>
      <c r="K369" s="64">
        <v>170.9</v>
      </c>
      <c r="L369" s="64">
        <v>177.4</v>
      </c>
      <c r="M369" s="64">
        <f>SUM('Data cleaning'!U369+'Data cleaning'!V369+'Data cleaning'!Y369+'Data cleaning'!AC369)</f>
        <v>688.3</v>
      </c>
    </row>
    <row r="370" spans="1:13">
      <c r="A370" s="64" t="s">
        <v>34</v>
      </c>
      <c r="B370" s="64">
        <v>2023</v>
      </c>
      <c r="C370" s="64" t="s">
        <v>37</v>
      </c>
      <c r="D370" s="64">
        <f>SUM('Data cleaning'!D370+'Data cleaning'!E370+'Data cleaning'!F370+'Data cleaning'!G370+'Data cleaning'!H370+'Data cleaning'!I370+'Data cleaning'!J370+'Data cleaning'!K370+'Data cleaning'!L370+'Data cleaning'!O370+'Data cleaning'!P370+'Data cleaning'!M370)</f>
        <v>2116.7000000000003</v>
      </c>
      <c r="E370" s="64">
        <f>SUM('Data cleaning'!N370+'Data cleaning'!Q370+'Data cleaning'!AB370+'Data cleaning'!Z370)</f>
        <v>728.2</v>
      </c>
      <c r="F370" s="64">
        <f>SUM('Data cleaning'!R370+'Data cleaning'!S370+'Data cleaning'!T370)</f>
        <v>551.79999999999995</v>
      </c>
      <c r="G370" s="76">
        <f>SUM('Data cleaning'!U370+'Data cleaning'!W370)</f>
        <v>349.79999999999995</v>
      </c>
      <c r="H370" s="64">
        <v>181.7</v>
      </c>
      <c r="I370" s="64">
        <v>164.5</v>
      </c>
      <c r="J370" s="64">
        <v>176.4</v>
      </c>
      <c r="K370" s="64">
        <v>175</v>
      </c>
      <c r="L370" s="64">
        <v>178.1</v>
      </c>
      <c r="M370" s="64">
        <f>SUM('Data cleaning'!U370+'Data cleaning'!V370+'Data cleaning'!Y370+'Data cleaning'!AC370)</f>
        <v>696.4</v>
      </c>
    </row>
    <row r="371" spans="1:13">
      <c r="A371" s="64" t="s">
        <v>30</v>
      </c>
      <c r="B371" s="64">
        <v>2023</v>
      </c>
      <c r="C371" s="64" t="s">
        <v>38</v>
      </c>
      <c r="D371" s="64">
        <f>SUM('Data cleaning'!D371+'Data cleaning'!E371+'Data cleaning'!F371+'Data cleaning'!G371+'Data cleaning'!H371+'Data cleaning'!I371+'Data cleaning'!J371+'Data cleaning'!K371+'Data cleaning'!L371+'Data cleaning'!O371+'Data cleaning'!P371+'Data cleaning'!M371)</f>
        <v>2112</v>
      </c>
      <c r="E371" s="64">
        <f>SUM('Data cleaning'!N371+'Data cleaning'!Q371+'Data cleaning'!AB371+'Data cleaning'!Z371)</f>
        <v>737.3</v>
      </c>
      <c r="F371" s="64">
        <f>SUM('Data cleaning'!R371+'Data cleaning'!S371+'Data cleaning'!T371)</f>
        <v>569.90000000000009</v>
      </c>
      <c r="G371" s="76">
        <f>SUM('Data cleaning'!U371+'Data cleaning'!W371)</f>
        <v>355.3</v>
      </c>
      <c r="H371" s="64">
        <v>182.5</v>
      </c>
      <c r="I371" s="64">
        <v>169.7</v>
      </c>
      <c r="J371" s="64">
        <v>180.3</v>
      </c>
      <c r="K371" s="64">
        <v>179.5</v>
      </c>
      <c r="L371" s="64">
        <v>179.8</v>
      </c>
      <c r="M371" s="64">
        <f>SUM('Data cleaning'!U371+'Data cleaning'!V371+'Data cleaning'!Y371+'Data cleaning'!AC371)</f>
        <v>707.2</v>
      </c>
    </row>
    <row r="372" spans="1:13">
      <c r="A372" s="64" t="s">
        <v>33</v>
      </c>
      <c r="B372" s="64">
        <v>2023</v>
      </c>
      <c r="C372" s="64" t="s">
        <v>38</v>
      </c>
      <c r="D372" s="64">
        <f>SUM('Data cleaning'!D372+'Data cleaning'!E372+'Data cleaning'!F372+'Data cleaning'!G372+'Data cleaning'!H372+'Data cleaning'!I372+'Data cleaning'!J372+'Data cleaning'!K372+'Data cleaning'!L372+'Data cleaning'!O372+'Data cleaning'!P372+'Data cleaning'!M372)</f>
        <v>2169.1999999999998</v>
      </c>
      <c r="E372" s="64">
        <f>SUM('Data cleaning'!N372+'Data cleaning'!Q372+'Data cleaning'!AB372+'Data cleaning'!Z372)</f>
        <v>724.90000000000009</v>
      </c>
      <c r="F372" s="64">
        <f>SUM('Data cleaning'!R372+'Data cleaning'!S372+'Data cleaning'!T372)</f>
        <v>528.70000000000005</v>
      </c>
      <c r="G372" s="76">
        <f>SUM('Data cleaning'!U372+'Data cleaning'!W372)</f>
        <v>345.7</v>
      </c>
      <c r="H372" s="64">
        <v>183.4</v>
      </c>
      <c r="I372" s="64">
        <v>160.4</v>
      </c>
      <c r="J372" s="64">
        <v>174.8</v>
      </c>
      <c r="K372" s="64">
        <v>171.6</v>
      </c>
      <c r="L372" s="64">
        <v>178.2</v>
      </c>
      <c r="M372" s="64">
        <f>SUM('Data cleaning'!U372+'Data cleaning'!V372+'Data cleaning'!Y372+'Data cleaning'!AC372)</f>
        <v>691</v>
      </c>
    </row>
    <row r="373" spans="1:13">
      <c r="A373" s="64" t="s">
        <v>34</v>
      </c>
      <c r="B373" s="64">
        <v>2023</v>
      </c>
      <c r="C373" s="64" t="s">
        <v>38</v>
      </c>
      <c r="D373" s="64">
        <f>SUM('Data cleaning'!D373+'Data cleaning'!E373+'Data cleaning'!F373+'Data cleaning'!G373+'Data cleaning'!H373+'Data cleaning'!I373+'Data cleaning'!J373+'Data cleaning'!K373+'Data cleaning'!L373+'Data cleaning'!O373+'Data cleaning'!P373+'Data cleaning'!M373)</f>
        <v>2133.5</v>
      </c>
      <c r="E373" s="64">
        <f>SUM('Data cleaning'!N373+'Data cleaning'!Q373+'Data cleaning'!AB373+'Data cleaning'!Z373)</f>
        <v>730.8</v>
      </c>
      <c r="F373" s="64">
        <f>SUM('Data cleaning'!R373+'Data cleaning'!S373+'Data cleaning'!T373)</f>
        <v>553.20000000000005</v>
      </c>
      <c r="G373" s="76">
        <f>SUM('Data cleaning'!U373+'Data cleaning'!W373)</f>
        <v>350.79999999999995</v>
      </c>
      <c r="H373" s="64">
        <v>182.8</v>
      </c>
      <c r="I373" s="64">
        <v>164.8</v>
      </c>
      <c r="J373" s="64">
        <v>177.1</v>
      </c>
      <c r="K373" s="64">
        <v>175.7</v>
      </c>
      <c r="L373" s="64">
        <v>179.1</v>
      </c>
      <c r="M373" s="64">
        <f>SUM('Data cleaning'!U373+'Data cleaning'!V373+'Data cleaning'!Y373+'Data cleaning'!AC373)</f>
        <v>698.90000000000009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13-A4DE-4DE2-8E48-C6278ED8F6C1}">
  <dimension ref="A1:R56"/>
  <sheetViews>
    <sheetView showGridLines="0" topLeftCell="A46" workbookViewId="0">
      <selection activeCell="C11" sqref="C11"/>
    </sheetView>
  </sheetViews>
  <sheetFormatPr defaultRowHeight="15"/>
  <cols>
    <col min="1" max="1" width="19" style="56" customWidth="1"/>
    <col min="2" max="2" width="16.28515625" style="56" customWidth="1"/>
    <col min="3" max="3" width="18.42578125" style="56" customWidth="1"/>
    <col min="4" max="16384" width="9.140625" style="56"/>
  </cols>
  <sheetData>
    <row r="1" spans="1:18">
      <c r="A1" t="s">
        <v>67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3" spans="1:18">
      <c r="A3" t="s">
        <v>68</v>
      </c>
      <c r="B3"/>
      <c r="C3"/>
      <c r="D3"/>
      <c r="E3"/>
      <c r="F3"/>
      <c r="G3"/>
    </row>
    <row r="5" spans="1:18">
      <c r="A5" t="s">
        <v>69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7" spans="1:18" ht="21">
      <c r="D7" s="79"/>
      <c r="E7" s="80"/>
      <c r="F7" s="80"/>
      <c r="G7" s="81" t="s">
        <v>73</v>
      </c>
      <c r="H7" s="80"/>
      <c r="I7" s="80"/>
      <c r="J7" s="80"/>
      <c r="K7" s="82"/>
    </row>
    <row r="10" spans="1:18" ht="18.75">
      <c r="A10" s="77" t="s">
        <v>0</v>
      </c>
      <c r="B10" s="165" t="s">
        <v>30</v>
      </c>
      <c r="C10" s="77" t="s">
        <v>241</v>
      </c>
    </row>
    <row r="11" spans="1:18">
      <c r="A11" s="78" t="s">
        <v>61</v>
      </c>
      <c r="B11" s="166">
        <v>2112</v>
      </c>
      <c r="C11" s="170">
        <f>B11/B21</f>
        <v>0.39302528983754204</v>
      </c>
      <c r="M11" s="83"/>
      <c r="N11" s="85"/>
      <c r="O11" s="86" t="s">
        <v>74</v>
      </c>
      <c r="P11" s="87"/>
      <c r="Q11" s="88"/>
    </row>
    <row r="12" spans="1:18">
      <c r="A12" s="64" t="s">
        <v>62</v>
      </c>
      <c r="B12" s="167">
        <v>737.3</v>
      </c>
      <c r="C12" s="98">
        <f>B12/B21</f>
        <v>0.13720527755550177</v>
      </c>
      <c r="M12" s="84"/>
      <c r="N12" s="89"/>
      <c r="O12" s="90" t="s">
        <v>75</v>
      </c>
      <c r="P12" s="89"/>
      <c r="Q12" s="91"/>
    </row>
    <row r="13" spans="1:18">
      <c r="A13" s="64" t="s">
        <v>17</v>
      </c>
      <c r="B13" s="167">
        <v>569.90000000000009</v>
      </c>
      <c r="C13" s="98">
        <f>B13/B21</f>
        <v>0.10605355713940116</v>
      </c>
      <c r="O13" s="92"/>
    </row>
    <row r="14" spans="1:18">
      <c r="A14" s="64" t="s">
        <v>20</v>
      </c>
      <c r="B14" s="167">
        <v>355.4</v>
      </c>
      <c r="C14" s="98">
        <f>B14/B21</f>
        <v>6.6136926140275776E-2</v>
      </c>
      <c r="O14" s="62"/>
    </row>
    <row r="15" spans="1:18">
      <c r="A15" s="64" t="s">
        <v>63</v>
      </c>
      <c r="B15" s="167">
        <v>182.5</v>
      </c>
      <c r="C15" s="98">
        <f>B15/B21</f>
        <v>3.3961702365223209E-2</v>
      </c>
      <c r="O15" s="62"/>
    </row>
    <row r="16" spans="1:18">
      <c r="A16" s="64" t="s">
        <v>70</v>
      </c>
      <c r="B16" s="167">
        <v>169.7</v>
      </c>
      <c r="C16" s="98">
        <f>B16/B21</f>
        <v>3.157973091166235E-2</v>
      </c>
      <c r="O16" s="62"/>
    </row>
    <row r="17" spans="1:17">
      <c r="A17" s="64" t="s">
        <v>26</v>
      </c>
      <c r="B17" s="167">
        <v>180.3</v>
      </c>
      <c r="C17" s="98">
        <f>B17/B21</f>
        <v>3.3552301021642444E-2</v>
      </c>
      <c r="M17" s="57"/>
      <c r="N17" s="57"/>
      <c r="O17" s="72"/>
    </row>
    <row r="18" spans="1:17">
      <c r="A18" s="64" t="s">
        <v>71</v>
      </c>
      <c r="B18" s="167">
        <v>179.5</v>
      </c>
      <c r="C18" s="98">
        <f>B18/B21</f>
        <v>3.3403427805794889E-2</v>
      </c>
    </row>
    <row r="19" spans="1:17">
      <c r="A19" s="64" t="s">
        <v>72</v>
      </c>
      <c r="B19" s="167">
        <v>179.8</v>
      </c>
      <c r="C19" s="98">
        <f>B19/B21</f>
        <v>3.3459255261737722E-2</v>
      </c>
    </row>
    <row r="20" spans="1:17">
      <c r="A20" s="64" t="s">
        <v>60</v>
      </c>
      <c r="B20" s="167">
        <v>707.3</v>
      </c>
      <c r="C20" s="98">
        <f>B20/B21</f>
        <v>0.13162253196121851</v>
      </c>
    </row>
    <row r="21" spans="1:17">
      <c r="A21" s="168" t="s">
        <v>242</v>
      </c>
      <c r="B21" s="168">
        <f>SUM(B11:B20)</f>
        <v>5373.7000000000007</v>
      </c>
      <c r="C21" s="169">
        <v>1</v>
      </c>
    </row>
    <row r="25" spans="1:17">
      <c r="B25" s="57"/>
    </row>
    <row r="26" spans="1:17" ht="21">
      <c r="A26" s="77" t="s">
        <v>0</v>
      </c>
      <c r="B26" s="77" t="s">
        <v>33</v>
      </c>
      <c r="C26" s="171" t="s">
        <v>243</v>
      </c>
    </row>
    <row r="27" spans="1:17">
      <c r="A27" s="78" t="s">
        <v>61</v>
      </c>
      <c r="B27" s="78">
        <v>2169.1999999999998</v>
      </c>
      <c r="C27" s="170">
        <f>B27/B37</f>
        <v>0.40713977364440018</v>
      </c>
    </row>
    <row r="28" spans="1:17">
      <c r="A28" s="64" t="s">
        <v>62</v>
      </c>
      <c r="B28" s="64">
        <v>724.90000000000009</v>
      </c>
      <c r="C28" s="98">
        <f>B28/B37</f>
        <v>0.13605735843390454</v>
      </c>
    </row>
    <row r="29" spans="1:17">
      <c r="A29" s="64" t="s">
        <v>17</v>
      </c>
      <c r="B29" s="64">
        <v>528.70000000000005</v>
      </c>
      <c r="C29" s="98">
        <f>B29/B37</f>
        <v>9.9232342949379673E-2</v>
      </c>
      <c r="M29" s="94"/>
      <c r="N29" s="85"/>
      <c r="O29" s="86" t="s">
        <v>74</v>
      </c>
      <c r="P29" s="87"/>
      <c r="Q29" s="88"/>
    </row>
    <row r="30" spans="1:17">
      <c r="A30" s="64" t="s">
        <v>20</v>
      </c>
      <c r="B30" s="64">
        <v>345.7</v>
      </c>
      <c r="C30" s="98">
        <f>B30/B37</f>
        <v>6.4884851442406938E-2</v>
      </c>
      <c r="M30" s="95"/>
      <c r="N30" s="89"/>
      <c r="O30" s="90" t="s">
        <v>75</v>
      </c>
      <c r="P30" s="89"/>
      <c r="Q30" s="91"/>
    </row>
    <row r="31" spans="1:17">
      <c r="A31" s="64" t="s">
        <v>63</v>
      </c>
      <c r="B31" s="64">
        <v>183.4</v>
      </c>
      <c r="C31" s="98">
        <f>B31/B37</f>
        <v>3.4422567991140969E-2</v>
      </c>
      <c r="O31" s="92"/>
    </row>
    <row r="32" spans="1:17">
      <c r="A32" s="64" t="s">
        <v>70</v>
      </c>
      <c r="B32" s="64">
        <v>160.4</v>
      </c>
      <c r="C32" s="98">
        <f>B32/B37</f>
        <v>3.0105670151466805E-2</v>
      </c>
      <c r="O32" s="62"/>
    </row>
    <row r="33" spans="1:15">
      <c r="A33" s="64" t="s">
        <v>26</v>
      </c>
      <c r="B33" s="64">
        <v>174.8</v>
      </c>
      <c r="C33" s="98">
        <f>B33/B37</f>
        <v>3.2808423581523673E-2</v>
      </c>
      <c r="O33" s="62"/>
    </row>
    <row r="34" spans="1:15">
      <c r="A34" s="64" t="s">
        <v>71</v>
      </c>
      <c r="B34" s="64">
        <v>171.6</v>
      </c>
      <c r="C34" s="98">
        <f>B34/B37</f>
        <v>3.22078117081777E-2</v>
      </c>
      <c r="O34" s="62"/>
    </row>
    <row r="35" spans="1:15">
      <c r="A35" s="64" t="s">
        <v>72</v>
      </c>
      <c r="B35" s="64">
        <v>178.2</v>
      </c>
      <c r="C35" s="98">
        <f>B35/B37</f>
        <v>3.3446573696953766E-2</v>
      </c>
      <c r="M35" s="57"/>
      <c r="N35" s="57"/>
      <c r="O35" s="72"/>
    </row>
    <row r="36" spans="1:15">
      <c r="A36" s="64" t="s">
        <v>60</v>
      </c>
      <c r="B36" s="64">
        <v>691</v>
      </c>
      <c r="C36" s="98">
        <f>B36/B37</f>
        <v>0.12969462640064564</v>
      </c>
    </row>
    <row r="37" spans="1:15">
      <c r="A37" s="168" t="s">
        <v>242</v>
      </c>
      <c r="B37" s="168">
        <f>SUM(B27:B36)</f>
        <v>5327.9000000000005</v>
      </c>
      <c r="C37" s="169">
        <v>1</v>
      </c>
    </row>
    <row r="45" spans="1:15" ht="21">
      <c r="A45" s="77" t="s">
        <v>0</v>
      </c>
      <c r="B45" s="77" t="s">
        <v>34</v>
      </c>
      <c r="C45" s="171" t="s">
        <v>243</v>
      </c>
    </row>
    <row r="46" spans="1:15">
      <c r="A46" s="78" t="s">
        <v>61</v>
      </c>
      <c r="B46" s="78">
        <v>2133.5</v>
      </c>
      <c r="C46" s="170">
        <f>B46/B56</f>
        <v>0.39903117810986211</v>
      </c>
    </row>
    <row r="47" spans="1:15">
      <c r="A47" s="64" t="s">
        <v>62</v>
      </c>
      <c r="B47" s="64">
        <v>730.8</v>
      </c>
      <c r="C47" s="98">
        <f>B47/B56</f>
        <v>0.13668243963566309</v>
      </c>
    </row>
    <row r="48" spans="1:15">
      <c r="A48" s="64" t="s">
        <v>17</v>
      </c>
      <c r="B48" s="64">
        <v>553.20000000000005</v>
      </c>
      <c r="C48" s="98">
        <f>B48/B56</f>
        <v>0.10346568911665138</v>
      </c>
    </row>
    <row r="49" spans="1:17">
      <c r="A49" s="64" t="s">
        <v>20</v>
      </c>
      <c r="B49" s="64">
        <v>350.79999999999995</v>
      </c>
      <c r="C49" s="98">
        <f>B49/B56</f>
        <v>6.5610563525165033E-2</v>
      </c>
    </row>
    <row r="50" spans="1:17">
      <c r="A50" s="64" t="s">
        <v>63</v>
      </c>
      <c r="B50" s="64">
        <v>182.8</v>
      </c>
      <c r="C50" s="98">
        <f>B50/B56</f>
        <v>3.418931303420801E-2</v>
      </c>
      <c r="M50" s="79"/>
      <c r="N50" s="85"/>
      <c r="O50" s="86" t="s">
        <v>74</v>
      </c>
      <c r="P50" s="87"/>
      <c r="Q50" s="88"/>
    </row>
    <row r="51" spans="1:17">
      <c r="A51" s="64" t="s">
        <v>70</v>
      </c>
      <c r="B51" s="64">
        <v>164.8</v>
      </c>
      <c r="C51" s="98">
        <f>B51/B56</f>
        <v>3.0822750481605474E-2</v>
      </c>
      <c r="M51" s="79"/>
      <c r="N51" s="93"/>
      <c r="O51" s="90" t="s">
        <v>75</v>
      </c>
      <c r="P51" s="89"/>
      <c r="Q51" s="91"/>
    </row>
    <row r="52" spans="1:17">
      <c r="A52" s="64" t="s">
        <v>26</v>
      </c>
      <c r="B52" s="64">
        <v>177.1</v>
      </c>
      <c r="C52" s="98">
        <f>B52/B56</f>
        <v>3.3123234892550542E-2</v>
      </c>
      <c r="O52" s="92"/>
    </row>
    <row r="53" spans="1:17">
      <c r="A53" s="64" t="s">
        <v>71</v>
      </c>
      <c r="B53" s="64">
        <v>175.7</v>
      </c>
      <c r="C53" s="98">
        <f>B53/B56</f>
        <v>3.2861391138459227E-2</v>
      </c>
      <c r="O53" s="62"/>
    </row>
    <row r="54" spans="1:17">
      <c r="A54" s="64" t="s">
        <v>72</v>
      </c>
      <c r="B54" s="64">
        <v>179.1</v>
      </c>
      <c r="C54" s="98">
        <f>B54/B56</f>
        <v>3.3497297398395263E-2</v>
      </c>
      <c r="O54" s="62"/>
    </row>
    <row r="55" spans="1:17">
      <c r="A55" s="64" t="s">
        <v>60</v>
      </c>
      <c r="B55" s="64">
        <v>698.90000000000009</v>
      </c>
      <c r="C55" s="98">
        <f>B55/B56</f>
        <v>0.13071614266743972</v>
      </c>
      <c r="O55" s="62"/>
    </row>
    <row r="56" spans="1:17">
      <c r="A56" s="168" t="s">
        <v>242</v>
      </c>
      <c r="B56" s="168">
        <f>SUM(B46:B55)</f>
        <v>5346.7000000000007</v>
      </c>
      <c r="C56" s="169">
        <v>1</v>
      </c>
      <c r="M56" s="57"/>
      <c r="N56" s="57"/>
      <c r="O56" s="7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8A20-F6D2-4354-8AFF-5A2AE8112392}">
  <dimension ref="A1:H37"/>
  <sheetViews>
    <sheetView showGridLines="0" topLeftCell="A10" workbookViewId="0">
      <selection activeCell="D13" sqref="D13"/>
    </sheetView>
  </sheetViews>
  <sheetFormatPr defaultRowHeight="15"/>
  <cols>
    <col min="1" max="1" width="13.5703125" customWidth="1"/>
    <col min="2" max="2" width="13.140625" bestFit="1" customWidth="1"/>
    <col min="3" max="3" width="24" bestFit="1" customWidth="1"/>
  </cols>
  <sheetData>
    <row r="1" spans="1:8">
      <c r="A1" t="s">
        <v>76</v>
      </c>
    </row>
    <row r="3" spans="1:8">
      <c r="A3" t="s">
        <v>77</v>
      </c>
    </row>
    <row r="4" spans="1:8">
      <c r="A4" t="s">
        <v>78</v>
      </c>
    </row>
    <row r="9" spans="1:8">
      <c r="B9" s="49" t="s">
        <v>0</v>
      </c>
      <c r="C9" t="s">
        <v>231</v>
      </c>
    </row>
    <row r="11" spans="1:8">
      <c r="A11" s="96" t="s">
        <v>0</v>
      </c>
      <c r="B11" s="97" t="s">
        <v>1</v>
      </c>
      <c r="C11" s="97" t="s">
        <v>232</v>
      </c>
      <c r="D11" s="97" t="s">
        <v>84</v>
      </c>
      <c r="G11" s="51" t="s">
        <v>1</v>
      </c>
      <c r="H11" s="53" t="s">
        <v>84</v>
      </c>
    </row>
    <row r="12" spans="1:8">
      <c r="A12" s="64" t="s">
        <v>34</v>
      </c>
      <c r="B12" s="64">
        <v>2013</v>
      </c>
      <c r="C12" s="64">
        <v>110.01388888888889</v>
      </c>
      <c r="D12" s="98"/>
      <c r="G12" s="52">
        <v>2013</v>
      </c>
      <c r="H12" s="28"/>
    </row>
    <row r="13" spans="1:8">
      <c r="A13" s="64" t="s">
        <v>34</v>
      </c>
      <c r="B13" s="64">
        <v>2014</v>
      </c>
      <c r="C13" s="64">
        <v>117.32777777777775</v>
      </c>
      <c r="D13" s="98">
        <f>(C13-C12)/C12</f>
        <v>6.6481504860497226E-2</v>
      </c>
      <c r="G13" s="52">
        <v>2014</v>
      </c>
      <c r="H13" s="28">
        <v>6.6481504860497226E-2</v>
      </c>
    </row>
    <row r="14" spans="1:8">
      <c r="A14" s="64" t="s">
        <v>34</v>
      </c>
      <c r="B14" s="64">
        <v>2015</v>
      </c>
      <c r="C14" s="64">
        <v>123.0361111111111</v>
      </c>
      <c r="D14" s="98">
        <f t="shared" ref="D14:D22" si="0">(C14-C13)/C13</f>
        <v>4.8652871821582552E-2</v>
      </c>
      <c r="G14" s="52">
        <v>2015</v>
      </c>
      <c r="H14" s="28">
        <v>4.8652871821582552E-2</v>
      </c>
    </row>
    <row r="15" spans="1:8">
      <c r="A15" s="64" t="s">
        <v>34</v>
      </c>
      <c r="B15" s="64">
        <v>2016</v>
      </c>
      <c r="C15" s="64">
        <v>129.10000000000002</v>
      </c>
      <c r="D15" s="98">
        <f t="shared" si="0"/>
        <v>4.9285440137268044E-2</v>
      </c>
      <c r="G15" s="52">
        <v>2016</v>
      </c>
      <c r="H15" s="28">
        <v>4.9285440137268044E-2</v>
      </c>
    </row>
    <row r="16" spans="1:8">
      <c r="A16" s="64" t="s">
        <v>34</v>
      </c>
      <c r="B16" s="64">
        <v>2017</v>
      </c>
      <c r="C16" s="64">
        <v>133.38611111111112</v>
      </c>
      <c r="D16" s="98">
        <f t="shared" si="0"/>
        <v>3.3199931147258686E-2</v>
      </c>
      <c r="G16" s="52">
        <v>2017</v>
      </c>
      <c r="H16" s="28">
        <v>3.3199931147258686E-2</v>
      </c>
    </row>
    <row r="17" spans="1:8">
      <c r="A17" s="64" t="s">
        <v>34</v>
      </c>
      <c r="B17" s="64">
        <v>2018</v>
      </c>
      <c r="C17" s="64">
        <v>138.66944444444442</v>
      </c>
      <c r="D17" s="98">
        <f t="shared" si="0"/>
        <v>3.9609321310314437E-2</v>
      </c>
      <c r="G17" s="52">
        <v>2018</v>
      </c>
      <c r="H17" s="28">
        <v>3.9609321310314437E-2</v>
      </c>
    </row>
    <row r="18" spans="1:8">
      <c r="A18" s="64" t="s">
        <v>34</v>
      </c>
      <c r="B18" s="64">
        <v>2019</v>
      </c>
      <c r="C18" s="64">
        <v>144.12727272727273</v>
      </c>
      <c r="D18" s="98">
        <f t="shared" si="0"/>
        <v>3.9358550145593821E-2</v>
      </c>
      <c r="G18" s="52">
        <v>2019</v>
      </c>
      <c r="H18" s="28">
        <v>3.9358550145593821E-2</v>
      </c>
    </row>
    <row r="19" spans="1:8">
      <c r="A19" s="64" t="s">
        <v>34</v>
      </c>
      <c r="B19" s="64">
        <v>2020</v>
      </c>
      <c r="C19" s="64">
        <v>153.32999999999996</v>
      </c>
      <c r="D19" s="98">
        <f t="shared" si="0"/>
        <v>6.3851393969975745E-2</v>
      </c>
      <c r="G19" s="52">
        <v>2020</v>
      </c>
      <c r="H19" s="28">
        <v>6.3851393969975745E-2</v>
      </c>
    </row>
    <row r="20" spans="1:8">
      <c r="A20" s="64" t="s">
        <v>34</v>
      </c>
      <c r="B20" s="64">
        <v>2021</v>
      </c>
      <c r="C20" s="64">
        <v>161.41666666666669</v>
      </c>
      <c r="D20" s="98">
        <f t="shared" si="0"/>
        <v>5.274027696254309E-2</v>
      </c>
      <c r="G20" s="52">
        <v>2021</v>
      </c>
      <c r="H20" s="28">
        <v>5.274027696254309E-2</v>
      </c>
    </row>
    <row r="21" spans="1:8">
      <c r="A21" s="64" t="s">
        <v>34</v>
      </c>
      <c r="B21" s="64">
        <v>2022</v>
      </c>
      <c r="C21" s="64">
        <v>172.07500000000005</v>
      </c>
      <c r="D21" s="98">
        <f t="shared" si="0"/>
        <v>6.6029943211151423E-2</v>
      </c>
      <c r="G21" s="54">
        <v>2022</v>
      </c>
      <c r="H21" s="55">
        <v>6.6029943211151423E-2</v>
      </c>
    </row>
    <row r="22" spans="1:8">
      <c r="A22" s="64" t="s">
        <v>34</v>
      </c>
      <c r="B22" s="64">
        <v>2023</v>
      </c>
      <c r="C22" s="64">
        <v>177.57333333333332</v>
      </c>
      <c r="D22" s="98">
        <f t="shared" si="0"/>
        <v>3.1953121216523474E-2</v>
      </c>
      <c r="G22" s="52">
        <v>2023</v>
      </c>
      <c r="H22" s="28">
        <v>3.1953121216523474E-2</v>
      </c>
    </row>
    <row r="23" spans="1:8">
      <c r="A23" s="64"/>
      <c r="B23" s="64" t="s">
        <v>230</v>
      </c>
      <c r="C23" s="64">
        <v>139.56448087431698</v>
      </c>
      <c r="D23" s="98"/>
      <c r="H23" s="50"/>
    </row>
    <row r="26" spans="1:8">
      <c r="A26" s="99" t="s">
        <v>85</v>
      </c>
      <c r="B26" s="100"/>
      <c r="C26" s="100"/>
      <c r="D26" s="101"/>
    </row>
    <row r="27" spans="1:8">
      <c r="A27" s="102" t="s">
        <v>86</v>
      </c>
      <c r="B27" s="103"/>
      <c r="C27" s="103"/>
      <c r="D27" s="104"/>
    </row>
    <row r="28" spans="1:8">
      <c r="A28" s="102" t="s">
        <v>87</v>
      </c>
      <c r="B28" s="103"/>
      <c r="C28" s="103"/>
      <c r="D28" s="104"/>
    </row>
    <row r="29" spans="1:8">
      <c r="A29" s="102" t="s">
        <v>88</v>
      </c>
      <c r="B29" s="103"/>
      <c r="C29" s="103"/>
      <c r="D29" s="104"/>
    </row>
    <row r="30" spans="1:8">
      <c r="A30" s="102"/>
      <c r="B30" s="103"/>
      <c r="C30" s="103"/>
      <c r="D30" s="104"/>
    </row>
    <row r="31" spans="1:8">
      <c r="A31" s="102" t="s">
        <v>89</v>
      </c>
      <c r="B31" s="103"/>
      <c r="C31" s="103"/>
      <c r="D31" s="104"/>
    </row>
    <row r="32" spans="1:8">
      <c r="A32" s="102" t="s">
        <v>90</v>
      </c>
      <c r="B32" s="103"/>
      <c r="C32" s="103"/>
      <c r="D32" s="104"/>
    </row>
    <row r="33" spans="1:4">
      <c r="A33" s="102" t="s">
        <v>91</v>
      </c>
      <c r="B33" s="103"/>
      <c r="C33" s="103"/>
      <c r="D33" s="104"/>
    </row>
    <row r="34" spans="1:4">
      <c r="A34" s="102" t="s">
        <v>92</v>
      </c>
      <c r="B34" s="103"/>
      <c r="C34" s="103"/>
      <c r="D34" s="104"/>
    </row>
    <row r="35" spans="1:4">
      <c r="A35" s="102"/>
      <c r="B35" s="103"/>
      <c r="C35" s="103"/>
      <c r="D35" s="104"/>
    </row>
    <row r="36" spans="1:4">
      <c r="A36" s="102" t="s">
        <v>93</v>
      </c>
      <c r="B36" s="103"/>
      <c r="C36" s="103"/>
      <c r="D36" s="104"/>
    </row>
    <row r="37" spans="1:4">
      <c r="A37" s="105" t="s">
        <v>94</v>
      </c>
      <c r="B37" s="106"/>
      <c r="C37" s="106"/>
      <c r="D37" s="10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6424-E4ED-4067-A9E6-797DB0757800}">
  <dimension ref="A1:N28"/>
  <sheetViews>
    <sheetView showGridLines="0" workbookViewId="0">
      <selection activeCell="E28" sqref="E28"/>
    </sheetView>
  </sheetViews>
  <sheetFormatPr defaultRowHeight="15"/>
  <cols>
    <col min="1" max="1" width="12.28515625" style="56" customWidth="1"/>
    <col min="2" max="2" width="9.140625" style="56"/>
    <col min="3" max="3" width="11.85546875" style="56" customWidth="1"/>
    <col min="4" max="4" width="9.140625" style="56"/>
    <col min="5" max="5" width="14" style="56" customWidth="1"/>
    <col min="6" max="6" width="9.140625" style="56"/>
    <col min="7" max="7" width="15.140625" style="56" customWidth="1"/>
    <col min="8" max="8" width="21.28515625" style="56" customWidth="1"/>
    <col min="9" max="9" width="15.42578125" style="56" customWidth="1"/>
    <col min="10" max="16384" width="9.140625" style="56"/>
  </cols>
  <sheetData>
    <row r="1" spans="1:14">
      <c r="A1" t="s">
        <v>95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>
      <c r="A2" t="s">
        <v>96</v>
      </c>
      <c r="B2"/>
      <c r="C2"/>
      <c r="D2"/>
      <c r="E2"/>
      <c r="F2"/>
      <c r="G2"/>
      <c r="H2"/>
      <c r="I2"/>
      <c r="J2"/>
      <c r="K2"/>
      <c r="L2"/>
      <c r="M2"/>
      <c r="N2"/>
    </row>
    <row r="5" spans="1:14">
      <c r="A5" s="57"/>
      <c r="B5" s="57"/>
      <c r="C5" s="57"/>
      <c r="D5" s="57"/>
      <c r="E5" s="57"/>
    </row>
    <row r="6" spans="1:14" ht="15.75">
      <c r="A6" s="58" t="s">
        <v>0</v>
      </c>
      <c r="B6" s="59" t="s">
        <v>1</v>
      </c>
      <c r="C6" s="59" t="s">
        <v>2</v>
      </c>
      <c r="D6" s="59" t="s">
        <v>61</v>
      </c>
      <c r="E6" s="58" t="s">
        <v>98</v>
      </c>
      <c r="G6" s="59" t="s">
        <v>97</v>
      </c>
      <c r="H6" s="59" t="s">
        <v>100</v>
      </c>
      <c r="I6" s="60"/>
    </row>
    <row r="7" spans="1:14">
      <c r="A7" s="61" t="s">
        <v>34</v>
      </c>
      <c r="B7" s="61">
        <v>2022</v>
      </c>
      <c r="C7" s="61" t="s">
        <v>39</v>
      </c>
      <c r="D7" s="62">
        <v>2094</v>
      </c>
      <c r="E7" s="62" t="s">
        <v>99</v>
      </c>
      <c r="G7" s="63" t="str">
        <f>_xlfn.CONCAT(B7:C7)</f>
        <v>2022June</v>
      </c>
      <c r="H7" s="64" t="s">
        <v>99</v>
      </c>
    </row>
    <row r="8" spans="1:14">
      <c r="A8" s="61" t="s">
        <v>34</v>
      </c>
      <c r="B8" s="61">
        <v>2022</v>
      </c>
      <c r="C8" s="61" t="s">
        <v>40</v>
      </c>
      <c r="D8" s="62">
        <v>2097.9</v>
      </c>
      <c r="E8" s="62">
        <v>0.18624641833811323</v>
      </c>
      <c r="G8" s="63" t="str">
        <f t="shared" ref="G8:G18" si="0">_xlfn.CONCAT(B8:C8)</f>
        <v>2022July</v>
      </c>
      <c r="H8" s="65">
        <v>0.18624641833811323</v>
      </c>
      <c r="I8" s="66"/>
    </row>
    <row r="9" spans="1:14">
      <c r="A9" s="61" t="s">
        <v>34</v>
      </c>
      <c r="B9" s="61">
        <v>2022</v>
      </c>
      <c r="C9" s="61" t="s">
        <v>41</v>
      </c>
      <c r="D9" s="62">
        <v>2100.4</v>
      </c>
      <c r="E9" s="62">
        <v>0.1191667858334525</v>
      </c>
      <c r="G9" s="63" t="str">
        <f t="shared" si="0"/>
        <v>2022August</v>
      </c>
      <c r="H9" s="65">
        <v>0.1191667858334525</v>
      </c>
      <c r="I9" s="66"/>
    </row>
    <row r="10" spans="1:14">
      <c r="A10" s="61" t="s">
        <v>34</v>
      </c>
      <c r="B10" s="61">
        <v>2022</v>
      </c>
      <c r="C10" s="61" t="s">
        <v>42</v>
      </c>
      <c r="D10" s="62">
        <v>2111.5</v>
      </c>
      <c r="E10" s="62">
        <v>0.52847076747285804</v>
      </c>
      <c r="G10" s="63" t="str">
        <f t="shared" si="0"/>
        <v>2022September</v>
      </c>
      <c r="H10" s="65">
        <v>0.52847076747285804</v>
      </c>
      <c r="I10" s="66"/>
    </row>
    <row r="11" spans="1:14">
      <c r="A11" s="61" t="s">
        <v>34</v>
      </c>
      <c r="B11" s="61">
        <v>2022</v>
      </c>
      <c r="C11" s="61" t="s">
        <v>43</v>
      </c>
      <c r="D11" s="62">
        <v>2127.4</v>
      </c>
      <c r="E11" s="62">
        <v>0.75301918067724793</v>
      </c>
      <c r="G11" s="67" t="str">
        <f t="shared" si="0"/>
        <v>2022October</v>
      </c>
      <c r="H11" s="68">
        <v>0.75301918067724793</v>
      </c>
      <c r="I11" s="66"/>
    </row>
    <row r="12" spans="1:14">
      <c r="A12" s="61" t="s">
        <v>34</v>
      </c>
      <c r="B12" s="61">
        <v>2022</v>
      </c>
      <c r="C12" s="61" t="s">
        <v>45</v>
      </c>
      <c r="D12" s="62">
        <v>2126.3999999999996</v>
      </c>
      <c r="E12" s="62">
        <v>-4.700573469965473E-2</v>
      </c>
      <c r="G12" s="63" t="str">
        <f t="shared" si="0"/>
        <v>2022November</v>
      </c>
      <c r="H12" s="65">
        <v>-4.700573469965473E-2</v>
      </c>
      <c r="I12" s="66"/>
    </row>
    <row r="13" spans="1:14">
      <c r="A13" s="61" t="s">
        <v>34</v>
      </c>
      <c r="B13" s="61">
        <v>2022</v>
      </c>
      <c r="C13" s="61" t="s">
        <v>46</v>
      </c>
      <c r="D13" s="62">
        <v>2112.4</v>
      </c>
      <c r="E13" s="62">
        <v>-0.65838976674188998</v>
      </c>
      <c r="G13" s="69" t="str">
        <f t="shared" si="0"/>
        <v>2022December</v>
      </c>
      <c r="H13" s="70">
        <v>-0.65838976674188998</v>
      </c>
      <c r="I13" s="66"/>
    </row>
    <row r="14" spans="1:14">
      <c r="A14" s="61" t="s">
        <v>34</v>
      </c>
      <c r="B14" s="61">
        <v>2023</v>
      </c>
      <c r="C14" s="61" t="s">
        <v>31</v>
      </c>
      <c r="D14" s="62">
        <v>2121.3000000000002</v>
      </c>
      <c r="E14" s="62">
        <v>0.42132171937133545</v>
      </c>
      <c r="G14" s="63" t="str">
        <f t="shared" si="0"/>
        <v>2023January</v>
      </c>
      <c r="H14" s="65">
        <v>0.42132171937133545</v>
      </c>
      <c r="I14" s="66"/>
    </row>
    <row r="15" spans="1:14">
      <c r="A15" s="61" t="s">
        <v>34</v>
      </c>
      <c r="B15" s="61">
        <v>2023</v>
      </c>
      <c r="C15" s="61" t="s">
        <v>35</v>
      </c>
      <c r="D15" s="62">
        <v>2106.8000000000002</v>
      </c>
      <c r="E15" s="62">
        <v>-0.68354311035685655</v>
      </c>
      <c r="G15" s="69" t="str">
        <f t="shared" si="0"/>
        <v>2023February</v>
      </c>
      <c r="H15" s="70">
        <v>-0.68354311035685655</v>
      </c>
      <c r="I15" s="66"/>
    </row>
    <row r="16" spans="1:14">
      <c r="A16" s="61" t="s">
        <v>34</v>
      </c>
      <c r="B16" s="61">
        <v>2023</v>
      </c>
      <c r="C16" s="61" t="s">
        <v>36</v>
      </c>
      <c r="D16" s="62">
        <v>2106.8999999999996</v>
      </c>
      <c r="E16" s="62">
        <v>4.7465350294026154E-3</v>
      </c>
      <c r="G16" s="63" t="str">
        <f t="shared" si="0"/>
        <v>2023March</v>
      </c>
      <c r="H16" s="65">
        <v>4.7465350294026154E-3</v>
      </c>
      <c r="I16" s="66"/>
    </row>
    <row r="17" spans="1:9">
      <c r="A17" s="61" t="s">
        <v>34</v>
      </c>
      <c r="B17" s="61">
        <v>2023</v>
      </c>
      <c r="C17" s="61" t="s">
        <v>37</v>
      </c>
      <c r="D17" s="62">
        <v>2116.7000000000003</v>
      </c>
      <c r="E17" s="62">
        <v>0.46513835492907296</v>
      </c>
      <c r="G17" s="63" t="str">
        <f t="shared" si="0"/>
        <v>2023April</v>
      </c>
      <c r="H17" s="65">
        <v>0.46513835492907296</v>
      </c>
      <c r="I17" s="66"/>
    </row>
    <row r="18" spans="1:9">
      <c r="A18" s="71" t="s">
        <v>34</v>
      </c>
      <c r="B18" s="71">
        <v>2023</v>
      </c>
      <c r="C18" s="71" t="s">
        <v>38</v>
      </c>
      <c r="D18" s="72">
        <v>2133.5</v>
      </c>
      <c r="E18" s="71">
        <v>0.79368828837339844</v>
      </c>
      <c r="G18" s="67" t="str">
        <f t="shared" si="0"/>
        <v>2023May</v>
      </c>
      <c r="H18" s="68">
        <v>0.79368828837339844</v>
      </c>
      <c r="I18" s="66"/>
    </row>
    <row r="22" spans="1:9" ht="21">
      <c r="A22" s="142"/>
      <c r="B22" s="143"/>
      <c r="C22" s="143"/>
      <c r="D22" s="141"/>
      <c r="E22" s="154" t="s">
        <v>240</v>
      </c>
      <c r="F22" s="153"/>
      <c r="G22" s="143"/>
      <c r="H22" s="144"/>
    </row>
    <row r="23" spans="1:9" ht="18.75">
      <c r="A23" s="145"/>
      <c r="B23" s="146"/>
      <c r="C23" s="146"/>
      <c r="D23" s="147" t="s">
        <v>101</v>
      </c>
      <c r="E23" s="146"/>
      <c r="F23" s="146"/>
      <c r="G23" s="146"/>
      <c r="H23" s="148"/>
    </row>
    <row r="24" spans="1:9" ht="18.75">
      <c r="A24" s="149"/>
      <c r="B24" s="150"/>
      <c r="C24" s="150"/>
      <c r="D24" s="151" t="s">
        <v>102</v>
      </c>
      <c r="E24" s="150"/>
      <c r="F24" s="150"/>
      <c r="G24" s="150"/>
      <c r="H24" s="152"/>
    </row>
    <row r="28" spans="1:9">
      <c r="E28" s="56">
        <f>(D8-D7)/D7*100</f>
        <v>0.18624641833811323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9F70-C5F3-4534-A5C7-4B0EBB78A4A4}">
  <dimension ref="A1:O34"/>
  <sheetViews>
    <sheetView showGridLines="0" topLeftCell="A19" workbookViewId="0">
      <selection activeCell="E19" sqref="E19"/>
    </sheetView>
  </sheetViews>
  <sheetFormatPr defaultRowHeight="15"/>
  <cols>
    <col min="1" max="1" width="11.85546875" bestFit="1" customWidth="1"/>
    <col min="2" max="2" width="5.28515625" bestFit="1" customWidth="1"/>
    <col min="3" max="3" width="10.85546875" bestFit="1" customWidth="1"/>
    <col min="4" max="4" width="36.28515625" bestFit="1" customWidth="1"/>
    <col min="5" max="5" width="15.5703125" customWidth="1"/>
    <col min="6" max="6" width="6" bestFit="1" customWidth="1"/>
    <col min="7" max="7" width="19.140625" bestFit="1" customWidth="1"/>
    <col min="8" max="8" width="13.140625" bestFit="1" customWidth="1"/>
    <col min="9" max="9" width="6.42578125" bestFit="1" customWidth="1"/>
    <col min="10" max="10" width="11.5703125" bestFit="1" customWidth="1"/>
    <col min="11" max="11" width="20.85546875" bestFit="1" customWidth="1"/>
    <col min="12" max="12" width="25.7109375" bestFit="1" customWidth="1"/>
    <col min="13" max="13" width="7" bestFit="1" customWidth="1"/>
    <col min="14" max="14" width="36.28515625" bestFit="1" customWidth="1"/>
    <col min="15" max="15" width="20.85546875" bestFit="1" customWidth="1"/>
  </cols>
  <sheetData>
    <row r="1" spans="1:15">
      <c r="A1" t="s">
        <v>103</v>
      </c>
    </row>
    <row r="4" spans="1:15" ht="15.75">
      <c r="A4" s="108" t="s">
        <v>0</v>
      </c>
      <c r="B4" s="108" t="s">
        <v>1</v>
      </c>
      <c r="C4" s="108" t="s">
        <v>2</v>
      </c>
      <c r="D4" s="108" t="s">
        <v>3</v>
      </c>
      <c r="E4" s="108" t="s">
        <v>4</v>
      </c>
      <c r="F4" s="108" t="s">
        <v>5</v>
      </c>
      <c r="G4" s="108" t="s">
        <v>6</v>
      </c>
      <c r="H4" s="108" t="s">
        <v>7</v>
      </c>
      <c r="I4" s="108" t="s">
        <v>8</v>
      </c>
      <c r="J4" s="108" t="s">
        <v>9</v>
      </c>
      <c r="K4" s="108" t="s">
        <v>10</v>
      </c>
      <c r="L4" s="108" t="s">
        <v>11</v>
      </c>
      <c r="M4" s="108" t="s">
        <v>12</v>
      </c>
      <c r="N4" s="108" t="s">
        <v>14</v>
      </c>
      <c r="O4" s="108" t="s">
        <v>15</v>
      </c>
    </row>
    <row r="5" spans="1:15">
      <c r="A5" s="64" t="s">
        <v>34</v>
      </c>
      <c r="B5" s="64">
        <v>2022</v>
      </c>
      <c r="C5" s="64" t="s">
        <v>39</v>
      </c>
      <c r="D5" s="64">
        <v>155</v>
      </c>
      <c r="E5" s="64">
        <v>219.4</v>
      </c>
      <c r="F5" s="64">
        <v>170.8</v>
      </c>
      <c r="G5" s="64">
        <v>165.8</v>
      </c>
      <c r="H5" s="64">
        <v>200.9</v>
      </c>
      <c r="I5" s="64">
        <v>169.7</v>
      </c>
      <c r="J5" s="64">
        <v>182.3</v>
      </c>
      <c r="K5" s="64">
        <v>164.3</v>
      </c>
      <c r="L5" s="64">
        <v>119.9</v>
      </c>
      <c r="M5" s="64">
        <v>187.1</v>
      </c>
      <c r="N5" s="64">
        <v>183.9</v>
      </c>
      <c r="O5" s="64">
        <v>174.9</v>
      </c>
    </row>
    <row r="6" spans="1:15">
      <c r="A6" s="64" t="s">
        <v>34</v>
      </c>
      <c r="B6" s="64">
        <v>2022</v>
      </c>
      <c r="C6" s="64" t="s">
        <v>40</v>
      </c>
      <c r="D6" s="64">
        <v>156.5</v>
      </c>
      <c r="E6" s="64">
        <v>213</v>
      </c>
      <c r="F6" s="64">
        <v>175.2</v>
      </c>
      <c r="G6" s="64">
        <v>166.6</v>
      </c>
      <c r="H6" s="64">
        <v>195.8</v>
      </c>
      <c r="I6" s="64">
        <v>174.2</v>
      </c>
      <c r="J6" s="64">
        <v>182.1</v>
      </c>
      <c r="K6" s="64">
        <v>164.3</v>
      </c>
      <c r="L6" s="64">
        <v>120</v>
      </c>
      <c r="M6" s="64">
        <v>190</v>
      </c>
      <c r="N6" s="64">
        <v>185.2</v>
      </c>
      <c r="O6" s="64">
        <v>175</v>
      </c>
    </row>
    <row r="7" spans="1:15">
      <c r="A7" s="64" t="s">
        <v>34</v>
      </c>
      <c r="B7" s="64">
        <v>2022</v>
      </c>
      <c r="C7" s="64" t="s">
        <v>41</v>
      </c>
      <c r="D7" s="64">
        <v>160.30000000000001</v>
      </c>
      <c r="E7" s="64">
        <v>206.5</v>
      </c>
      <c r="F7" s="64">
        <v>169.2</v>
      </c>
      <c r="G7" s="64">
        <v>168.1</v>
      </c>
      <c r="H7" s="64">
        <v>192.4</v>
      </c>
      <c r="I7" s="64">
        <v>172.9</v>
      </c>
      <c r="J7" s="64">
        <v>186.7</v>
      </c>
      <c r="K7" s="64">
        <v>167.2</v>
      </c>
      <c r="L7" s="64">
        <v>120.9</v>
      </c>
      <c r="M7" s="64">
        <v>193.6</v>
      </c>
      <c r="N7" s="64">
        <v>186.3</v>
      </c>
      <c r="O7" s="64">
        <v>176.3</v>
      </c>
    </row>
    <row r="8" spans="1:15">
      <c r="A8" s="64" t="s">
        <v>34</v>
      </c>
      <c r="B8" s="64">
        <v>2022</v>
      </c>
      <c r="C8" s="64" t="s">
        <v>42</v>
      </c>
      <c r="D8" s="64">
        <v>163.5</v>
      </c>
      <c r="E8" s="64">
        <v>209.2</v>
      </c>
      <c r="F8" s="64">
        <v>169.7</v>
      </c>
      <c r="G8" s="64">
        <v>169.7</v>
      </c>
      <c r="H8" s="64">
        <v>188.7</v>
      </c>
      <c r="I8" s="64">
        <v>165.7</v>
      </c>
      <c r="J8" s="64">
        <v>191.8</v>
      </c>
      <c r="K8" s="64">
        <v>169.1</v>
      </c>
      <c r="L8" s="64">
        <v>121.6</v>
      </c>
      <c r="M8" s="64">
        <v>197.3</v>
      </c>
      <c r="N8" s="64">
        <v>187.4</v>
      </c>
      <c r="O8" s="64">
        <v>177.8</v>
      </c>
    </row>
    <row r="9" spans="1:15">
      <c r="A9" s="64" t="s">
        <v>34</v>
      </c>
      <c r="B9" s="64">
        <v>2022</v>
      </c>
      <c r="C9" s="64" t="s">
        <v>43</v>
      </c>
      <c r="D9" s="64">
        <v>165.2</v>
      </c>
      <c r="E9" s="64">
        <v>210.9</v>
      </c>
      <c r="F9" s="64">
        <v>170.9</v>
      </c>
      <c r="G9" s="64">
        <v>170.9</v>
      </c>
      <c r="H9" s="64">
        <v>186.5</v>
      </c>
      <c r="I9" s="64">
        <v>163.80000000000001</v>
      </c>
      <c r="J9" s="64">
        <v>199.7</v>
      </c>
      <c r="K9" s="64">
        <v>169.8</v>
      </c>
      <c r="L9" s="64">
        <v>121.9</v>
      </c>
      <c r="M9" s="64">
        <v>199.9</v>
      </c>
      <c r="N9" s="64">
        <v>188.3</v>
      </c>
      <c r="O9" s="64">
        <v>179.6</v>
      </c>
    </row>
    <row r="10" spans="1:15">
      <c r="A10" s="64" t="s">
        <v>34</v>
      </c>
      <c r="B10" s="64">
        <v>2022</v>
      </c>
      <c r="C10" s="64" t="s">
        <v>45</v>
      </c>
      <c r="D10" s="64">
        <v>167.4</v>
      </c>
      <c r="E10" s="64">
        <v>209.4</v>
      </c>
      <c r="F10" s="64">
        <v>181.4</v>
      </c>
      <c r="G10" s="64">
        <v>172.3</v>
      </c>
      <c r="H10" s="64">
        <v>188.9</v>
      </c>
      <c r="I10" s="64">
        <v>160.69999999999999</v>
      </c>
      <c r="J10" s="64">
        <v>183.1</v>
      </c>
      <c r="K10" s="64">
        <v>170.5</v>
      </c>
      <c r="L10" s="64">
        <v>122.1</v>
      </c>
      <c r="M10" s="64">
        <v>202.8</v>
      </c>
      <c r="N10" s="64">
        <v>189.5</v>
      </c>
      <c r="O10" s="64">
        <v>178.3</v>
      </c>
    </row>
    <row r="11" spans="1:15">
      <c r="A11" s="64" t="s">
        <v>34</v>
      </c>
      <c r="B11" s="64">
        <v>2022</v>
      </c>
      <c r="C11" s="64" t="s">
        <v>46</v>
      </c>
      <c r="D11" s="64">
        <v>169.2</v>
      </c>
      <c r="E11" s="64">
        <v>209</v>
      </c>
      <c r="F11" s="64">
        <v>190.2</v>
      </c>
      <c r="G11" s="64">
        <v>173.6</v>
      </c>
      <c r="H11" s="64">
        <v>188.5</v>
      </c>
      <c r="I11" s="64">
        <v>158</v>
      </c>
      <c r="J11" s="64">
        <v>159.9</v>
      </c>
      <c r="K11" s="64">
        <v>170.8</v>
      </c>
      <c r="L11" s="64">
        <v>121.8</v>
      </c>
      <c r="M11" s="64">
        <v>205.2</v>
      </c>
      <c r="N11" s="64">
        <v>190.3</v>
      </c>
      <c r="O11" s="64">
        <v>175.9</v>
      </c>
    </row>
    <row r="12" spans="1:15">
      <c r="A12" s="64" t="s">
        <v>34</v>
      </c>
      <c r="B12" s="64">
        <v>2023</v>
      </c>
      <c r="C12" s="64" t="s">
        <v>31</v>
      </c>
      <c r="D12" s="64">
        <v>173.8</v>
      </c>
      <c r="E12" s="64">
        <v>210.7</v>
      </c>
      <c r="F12" s="64">
        <v>194.5</v>
      </c>
      <c r="G12" s="64">
        <v>174.6</v>
      </c>
      <c r="H12" s="64">
        <v>187.2</v>
      </c>
      <c r="I12" s="64">
        <v>158.30000000000001</v>
      </c>
      <c r="J12" s="64">
        <v>153.9</v>
      </c>
      <c r="K12" s="64">
        <v>170.9</v>
      </c>
      <c r="L12" s="64">
        <v>121.1</v>
      </c>
      <c r="M12" s="64">
        <v>208.4</v>
      </c>
      <c r="N12" s="64">
        <v>191.2</v>
      </c>
      <c r="O12" s="64">
        <v>176.7</v>
      </c>
    </row>
    <row r="13" spans="1:15">
      <c r="A13" s="64" t="s">
        <v>34</v>
      </c>
      <c r="B13" s="64">
        <v>2023</v>
      </c>
      <c r="C13" s="64" t="s">
        <v>35</v>
      </c>
      <c r="D13" s="64">
        <v>174.4</v>
      </c>
      <c r="E13" s="64">
        <v>207.7</v>
      </c>
      <c r="F13" s="64">
        <v>175.2</v>
      </c>
      <c r="G13" s="64">
        <v>177.3</v>
      </c>
      <c r="H13" s="64">
        <v>179.3</v>
      </c>
      <c r="I13" s="64">
        <v>169.5</v>
      </c>
      <c r="J13" s="64">
        <v>152.69999999999999</v>
      </c>
      <c r="K13" s="64">
        <v>171</v>
      </c>
      <c r="L13" s="64">
        <v>120</v>
      </c>
      <c r="M13" s="64">
        <v>209.7</v>
      </c>
      <c r="N13" s="64">
        <v>193</v>
      </c>
      <c r="O13" s="64">
        <v>177</v>
      </c>
    </row>
    <row r="14" spans="1:15">
      <c r="A14" s="64" t="s">
        <v>34</v>
      </c>
      <c r="B14" s="64">
        <v>2023</v>
      </c>
      <c r="C14" s="64" t="s">
        <v>36</v>
      </c>
      <c r="D14" s="64">
        <v>174.4</v>
      </c>
      <c r="E14" s="64">
        <v>207.7</v>
      </c>
      <c r="F14" s="64">
        <v>175.2</v>
      </c>
      <c r="G14" s="64">
        <v>177.3</v>
      </c>
      <c r="H14" s="64">
        <v>179.2</v>
      </c>
      <c r="I14" s="64">
        <v>169.5</v>
      </c>
      <c r="J14" s="64">
        <v>152.80000000000001</v>
      </c>
      <c r="K14" s="64">
        <v>171.1</v>
      </c>
      <c r="L14" s="64">
        <v>120</v>
      </c>
      <c r="M14" s="64">
        <v>209.7</v>
      </c>
      <c r="N14" s="64">
        <v>193</v>
      </c>
      <c r="O14" s="64">
        <v>177</v>
      </c>
    </row>
    <row r="15" spans="1:15">
      <c r="A15" s="64" t="s">
        <v>34</v>
      </c>
      <c r="B15" s="64">
        <v>2023</v>
      </c>
      <c r="C15" s="64" t="s">
        <v>37</v>
      </c>
      <c r="D15" s="64">
        <v>173.8</v>
      </c>
      <c r="E15" s="64">
        <v>209.3</v>
      </c>
      <c r="F15" s="64">
        <v>169.6</v>
      </c>
      <c r="G15" s="64">
        <v>178.4</v>
      </c>
      <c r="H15" s="64">
        <v>174.9</v>
      </c>
      <c r="I15" s="64">
        <v>176.3</v>
      </c>
      <c r="J15" s="64">
        <v>155.4</v>
      </c>
      <c r="K15" s="64">
        <v>173.4</v>
      </c>
      <c r="L15" s="64">
        <v>121.3</v>
      </c>
      <c r="M15" s="64">
        <v>212.9</v>
      </c>
      <c r="N15" s="64">
        <v>193.5</v>
      </c>
      <c r="O15" s="64">
        <v>177.9</v>
      </c>
    </row>
    <row r="16" spans="1:15">
      <c r="A16" s="64" t="s">
        <v>34</v>
      </c>
      <c r="B16" s="64">
        <v>2023</v>
      </c>
      <c r="C16" s="64" t="s">
        <v>38</v>
      </c>
      <c r="D16" s="64">
        <v>173.7</v>
      </c>
      <c r="E16" s="64">
        <v>214.3</v>
      </c>
      <c r="F16" s="64">
        <v>173.2</v>
      </c>
      <c r="G16" s="64">
        <v>179.5</v>
      </c>
      <c r="H16" s="64">
        <v>170</v>
      </c>
      <c r="I16" s="64">
        <v>172.2</v>
      </c>
      <c r="J16" s="64">
        <v>161</v>
      </c>
      <c r="K16" s="64">
        <v>175.6</v>
      </c>
      <c r="L16" s="64">
        <v>122.7</v>
      </c>
      <c r="M16" s="64">
        <v>218</v>
      </c>
      <c r="N16" s="64">
        <v>194.2</v>
      </c>
      <c r="O16" s="64">
        <v>179.1</v>
      </c>
    </row>
    <row r="18" spans="4:5" ht="18.75">
      <c r="D18" s="109" t="s">
        <v>104</v>
      </c>
      <c r="E18" s="109" t="s">
        <v>84</v>
      </c>
    </row>
    <row r="19" spans="4:5" ht="15.75">
      <c r="D19" s="110" t="s">
        <v>3</v>
      </c>
      <c r="E19" s="76">
        <f>((D16-D5)/D5)*100</f>
        <v>12.064516129032251</v>
      </c>
    </row>
    <row r="20" spans="4:5" ht="15.75">
      <c r="D20" s="110" t="s">
        <v>4</v>
      </c>
      <c r="E20" s="76">
        <f>((E16-E5)/E5)*100</f>
        <v>-2.3245214220601613</v>
      </c>
    </row>
    <row r="21" spans="4:5" ht="15.75">
      <c r="D21" s="110" t="s">
        <v>5</v>
      </c>
      <c r="E21" s="76">
        <f>((F16-F5)/F5)*100</f>
        <v>1.4051522248243427</v>
      </c>
    </row>
    <row r="22" spans="4:5" ht="15.75">
      <c r="D22" s="110" t="s">
        <v>6</v>
      </c>
      <c r="E22" s="76">
        <f>((G16-G5)/G5)*100</f>
        <v>8.2629674306393177</v>
      </c>
    </row>
    <row r="23" spans="4:5" ht="15.75">
      <c r="D23" s="111" t="s">
        <v>7</v>
      </c>
      <c r="E23" s="112">
        <f>((H16-H5)/H5)*100</f>
        <v>-15.380786460925835</v>
      </c>
    </row>
    <row r="24" spans="4:5" ht="15.75">
      <c r="D24" s="110" t="s">
        <v>8</v>
      </c>
      <c r="E24" s="76">
        <f>((I16-I5)/I5)*100</f>
        <v>1.4731879787860933</v>
      </c>
    </row>
    <row r="25" spans="4:5" ht="15.75">
      <c r="D25" s="110" t="s">
        <v>9</v>
      </c>
      <c r="E25" s="76">
        <f>((J16-J5)/J5)*100</f>
        <v>-11.684037301151953</v>
      </c>
    </row>
    <row r="26" spans="4:5" ht="15.75">
      <c r="D26" s="110" t="s">
        <v>10</v>
      </c>
      <c r="E26" s="76">
        <f>((K16-K5)/K5)*100</f>
        <v>6.8776628119293877</v>
      </c>
    </row>
    <row r="27" spans="4:5" ht="15.75">
      <c r="D27" s="110" t="s">
        <v>11</v>
      </c>
      <c r="E27" s="76">
        <f>((L16-L5)/L5)*100</f>
        <v>2.3352793994995804</v>
      </c>
    </row>
    <row r="28" spans="4:5" ht="15.75">
      <c r="D28" s="129" t="s">
        <v>12</v>
      </c>
      <c r="E28" s="128">
        <f>((M16-M5)/M5)*100</f>
        <v>16.515232495991452</v>
      </c>
    </row>
    <row r="29" spans="4:5" ht="15.75">
      <c r="D29" s="110" t="s">
        <v>14</v>
      </c>
      <c r="E29" s="76">
        <f>((N16-N5)/N5)*100</f>
        <v>5.6008700380641558</v>
      </c>
    </row>
    <row r="30" spans="4:5" ht="15.75">
      <c r="D30" s="110" t="s">
        <v>15</v>
      </c>
      <c r="E30" s="76">
        <f>((O16-O5)/O5)*100</f>
        <v>2.4013722126929609</v>
      </c>
    </row>
    <row r="33" spans="4:4">
      <c r="D33" s="185" t="s">
        <v>105</v>
      </c>
    </row>
    <row r="34" spans="4:4">
      <c r="D34" s="186" t="s">
        <v>106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3E83-72FE-4773-899D-0D015DED9C93}">
  <dimension ref="A1:I62"/>
  <sheetViews>
    <sheetView showGridLines="0" topLeftCell="A31" workbookViewId="0">
      <selection activeCell="C8" sqref="C8"/>
    </sheetView>
  </sheetViews>
  <sheetFormatPr defaultRowHeight="15"/>
  <cols>
    <col min="1" max="1" width="16.28515625" style="56" customWidth="1"/>
    <col min="2" max="3" width="9.140625" style="56"/>
    <col min="4" max="4" width="16.28515625" style="56" customWidth="1"/>
    <col min="5" max="5" width="9.140625" style="56"/>
    <col min="6" max="6" width="15.140625" style="56" customWidth="1"/>
    <col min="7" max="8" width="9.140625" style="56"/>
    <col min="9" max="9" width="16.85546875" style="56" customWidth="1"/>
    <col min="10" max="16384" width="9.140625" style="56"/>
  </cols>
  <sheetData>
    <row r="1" spans="1:9">
      <c r="A1" t="s">
        <v>107</v>
      </c>
      <c r="B1"/>
      <c r="C1"/>
      <c r="D1"/>
      <c r="E1"/>
      <c r="F1"/>
      <c r="G1"/>
    </row>
    <row r="2" spans="1:9">
      <c r="A2" t="s">
        <v>108</v>
      </c>
      <c r="B2"/>
      <c r="C2"/>
      <c r="D2"/>
      <c r="E2"/>
      <c r="F2"/>
      <c r="G2"/>
    </row>
    <row r="3" spans="1:9">
      <c r="A3" t="s">
        <v>109</v>
      </c>
      <c r="B3"/>
      <c r="C3"/>
      <c r="D3"/>
      <c r="E3"/>
      <c r="F3"/>
      <c r="G3"/>
    </row>
    <row r="4" spans="1:9">
      <c r="A4"/>
      <c r="B4"/>
      <c r="C4"/>
      <c r="D4"/>
      <c r="E4"/>
      <c r="F4"/>
      <c r="G4"/>
    </row>
    <row r="7" spans="1:9">
      <c r="A7" s="113" t="s">
        <v>110</v>
      </c>
      <c r="B7" s="113" t="s">
        <v>61</v>
      </c>
      <c r="C7" s="113" t="s">
        <v>23</v>
      </c>
      <c r="D7" s="113" t="s">
        <v>111</v>
      </c>
      <c r="F7" s="113" t="s">
        <v>124</v>
      </c>
      <c r="G7" s="113" t="s">
        <v>61</v>
      </c>
      <c r="H7" s="113" t="s">
        <v>23</v>
      </c>
      <c r="I7" s="113" t="s">
        <v>111</v>
      </c>
    </row>
    <row r="8" spans="1:9">
      <c r="A8" s="64" t="s">
        <v>112</v>
      </c>
      <c r="B8" s="64">
        <v>1627.5000000000002</v>
      </c>
      <c r="C8" s="64">
        <v>135.19999999999999</v>
      </c>
      <c r="D8" s="64">
        <v>674</v>
      </c>
      <c r="F8" s="64" t="s">
        <v>125</v>
      </c>
      <c r="G8" s="64"/>
      <c r="H8" s="64"/>
      <c r="I8" s="64"/>
    </row>
    <row r="9" spans="1:9">
      <c r="A9" s="64" t="s">
        <v>113</v>
      </c>
      <c r="B9" s="64">
        <v>1629.8999999999999</v>
      </c>
      <c r="C9" s="64">
        <v>136</v>
      </c>
      <c r="D9" s="64">
        <v>677.2</v>
      </c>
      <c r="F9" s="64" t="s">
        <v>126</v>
      </c>
      <c r="G9" s="64">
        <v>1657.9000000000003</v>
      </c>
      <c r="H9" s="64">
        <v>146.9</v>
      </c>
      <c r="I9" s="64">
        <v>705.09999999999991</v>
      </c>
    </row>
    <row r="10" spans="1:9">
      <c r="A10" s="64" t="s">
        <v>114</v>
      </c>
      <c r="B10" s="64">
        <v>1643.8000000000002</v>
      </c>
      <c r="C10" s="64">
        <v>136.19999999999999</v>
      </c>
      <c r="D10" s="64">
        <v>679.7</v>
      </c>
      <c r="F10" s="64" t="s">
        <v>127</v>
      </c>
      <c r="G10" s="64">
        <v>1679.9</v>
      </c>
      <c r="H10" s="64">
        <v>147.4</v>
      </c>
      <c r="I10" s="64">
        <v>706.30000000000007</v>
      </c>
    </row>
    <row r="11" spans="1:9">
      <c r="A11" s="64" t="s">
        <v>115</v>
      </c>
      <c r="B11" s="64">
        <v>1665</v>
      </c>
      <c r="C11" s="64">
        <v>137</v>
      </c>
      <c r="D11" s="64">
        <v>684.8</v>
      </c>
      <c r="F11" s="64" t="s">
        <v>128</v>
      </c>
      <c r="G11" s="64">
        <v>1702.8</v>
      </c>
      <c r="H11" s="64">
        <v>147.9</v>
      </c>
      <c r="I11" s="64">
        <v>709</v>
      </c>
    </row>
    <row r="12" spans="1:9">
      <c r="A12" s="64" t="s">
        <v>116</v>
      </c>
      <c r="B12" s="64">
        <v>1667.6000000000004</v>
      </c>
      <c r="C12" s="64">
        <v>137.69999999999999</v>
      </c>
      <c r="D12" s="64">
        <v>689.69999999999993</v>
      </c>
      <c r="F12" s="64" t="s">
        <v>129</v>
      </c>
      <c r="G12" s="64">
        <v>1711.6</v>
      </c>
      <c r="H12" s="64">
        <v>148.5</v>
      </c>
      <c r="I12" s="64">
        <v>711</v>
      </c>
    </row>
    <row r="13" spans="1:9">
      <c r="A13" s="64" t="s">
        <v>117</v>
      </c>
      <c r="B13" s="64">
        <v>1648.7</v>
      </c>
      <c r="C13" s="64">
        <v>138.4</v>
      </c>
      <c r="D13" s="64">
        <v>694.5</v>
      </c>
      <c r="F13" s="64" t="s">
        <v>130</v>
      </c>
      <c r="G13" s="64">
        <v>1722.6999999999998</v>
      </c>
      <c r="H13" s="64">
        <v>149</v>
      </c>
      <c r="I13" s="64">
        <v>713.40000000000009</v>
      </c>
    </row>
    <row r="14" spans="1:9">
      <c r="A14" s="64" t="s">
        <v>118</v>
      </c>
      <c r="B14" s="64">
        <v>1642.6000000000001</v>
      </c>
      <c r="C14" s="64">
        <v>142.1</v>
      </c>
      <c r="D14" s="64">
        <v>701.8</v>
      </c>
      <c r="F14" s="64" t="s">
        <v>131</v>
      </c>
      <c r="G14" s="64">
        <v>1750.4999999999998</v>
      </c>
      <c r="H14" s="64">
        <v>149.4</v>
      </c>
      <c r="I14" s="64">
        <v>716.30000000000007</v>
      </c>
    </row>
    <row r="15" spans="1:9">
      <c r="A15" s="64" t="s">
        <v>119</v>
      </c>
      <c r="B15" s="64">
        <v>1642.2000000000003</v>
      </c>
      <c r="C15" s="64">
        <v>142.1</v>
      </c>
      <c r="D15" s="64">
        <v>701.59999999999991</v>
      </c>
      <c r="F15" s="64" t="s">
        <v>132</v>
      </c>
      <c r="G15" s="64">
        <v>1775.6000000000001</v>
      </c>
      <c r="H15" s="64">
        <v>149.9</v>
      </c>
      <c r="I15" s="64">
        <v>719.2</v>
      </c>
    </row>
    <row r="16" spans="1:9">
      <c r="A16" s="64" t="s">
        <v>120</v>
      </c>
      <c r="B16" s="64">
        <v>1628.9999999999998</v>
      </c>
      <c r="C16" s="64">
        <v>144.9</v>
      </c>
      <c r="D16" s="64">
        <v>699.7</v>
      </c>
      <c r="F16" s="64" t="s">
        <v>133</v>
      </c>
      <c r="G16" s="64">
        <v>1810.3000000000002</v>
      </c>
      <c r="H16" s="64">
        <v>150.4</v>
      </c>
      <c r="I16" s="64">
        <v>724.5</v>
      </c>
    </row>
    <row r="17" spans="1:9">
      <c r="A17" s="64" t="s">
        <v>121</v>
      </c>
      <c r="B17" s="64">
        <v>1620.1</v>
      </c>
      <c r="C17" s="64">
        <v>145.1</v>
      </c>
      <c r="D17" s="64">
        <v>697.6</v>
      </c>
      <c r="F17" s="64" t="s">
        <v>134</v>
      </c>
      <c r="G17" s="64">
        <v>1804.3</v>
      </c>
      <c r="H17" s="64">
        <v>151.19999999999999</v>
      </c>
      <c r="I17" s="64">
        <v>728.9</v>
      </c>
    </row>
    <row r="18" spans="1:9">
      <c r="A18" s="64" t="s">
        <v>122</v>
      </c>
      <c r="B18" s="64">
        <v>1623.5</v>
      </c>
      <c r="C18" s="64">
        <v>145.6</v>
      </c>
      <c r="D18" s="64">
        <v>698.49999999999989</v>
      </c>
      <c r="F18" s="64" t="s">
        <v>135</v>
      </c>
      <c r="G18" s="64">
        <v>1775.1</v>
      </c>
      <c r="H18" s="64">
        <v>151.69999999999999</v>
      </c>
      <c r="I18" s="64">
        <v>732.1</v>
      </c>
    </row>
    <row r="19" spans="1:9">
      <c r="A19" s="64" t="s">
        <v>123</v>
      </c>
      <c r="B19" s="64">
        <v>1629.2</v>
      </c>
      <c r="C19" s="64">
        <v>146.19999999999999</v>
      </c>
      <c r="D19" s="64">
        <v>701.3</v>
      </c>
      <c r="F19" s="64" t="s">
        <v>136</v>
      </c>
      <c r="G19" s="64">
        <v>1758.7</v>
      </c>
      <c r="H19" s="64">
        <v>152.30000000000001</v>
      </c>
      <c r="I19" s="64">
        <v>733.2</v>
      </c>
    </row>
    <row r="22" spans="1:9">
      <c r="A22" s="113" t="s">
        <v>137</v>
      </c>
      <c r="B22" s="113" t="s">
        <v>61</v>
      </c>
      <c r="C22" s="113" t="s">
        <v>23</v>
      </c>
      <c r="D22" s="113" t="s">
        <v>166</v>
      </c>
      <c r="F22" s="113" t="s">
        <v>150</v>
      </c>
      <c r="G22" s="113" t="s">
        <v>61</v>
      </c>
      <c r="H22" s="113" t="s">
        <v>23</v>
      </c>
      <c r="I22" s="113" t="s">
        <v>111</v>
      </c>
    </row>
    <row r="23" spans="1:9">
      <c r="A23" s="64" t="s">
        <v>138</v>
      </c>
      <c r="B23" s="64">
        <v>1790.9868852459017</v>
      </c>
      <c r="C23" s="64">
        <v>150.69999999999999</v>
      </c>
      <c r="D23" s="64">
        <v>701.99426229508197</v>
      </c>
      <c r="F23" s="64" t="s">
        <v>151</v>
      </c>
      <c r="G23" s="64">
        <v>1906.5</v>
      </c>
      <c r="H23" s="64">
        <v>162.30000000000001</v>
      </c>
      <c r="I23" s="64">
        <v>778.30000000000007</v>
      </c>
    </row>
    <row r="24" spans="1:9">
      <c r="A24" s="64" t="s">
        <v>139</v>
      </c>
      <c r="B24" s="64">
        <v>1689.4454218312676</v>
      </c>
      <c r="C24" s="64">
        <v>139.02439024390242</v>
      </c>
      <c r="D24" s="64">
        <v>678.77709156337471</v>
      </c>
      <c r="F24" s="64" t="s">
        <v>152</v>
      </c>
      <c r="G24" s="64">
        <v>1946.4000000000003</v>
      </c>
      <c r="H24" s="64">
        <v>165.8</v>
      </c>
      <c r="I24" s="64">
        <v>787.89999999999986</v>
      </c>
    </row>
    <row r="25" spans="1:9">
      <c r="A25" s="64" t="s">
        <v>140</v>
      </c>
      <c r="B25" s="64">
        <v>1827.4</v>
      </c>
      <c r="C25" s="64">
        <v>154.4</v>
      </c>
      <c r="D25" s="64">
        <v>735</v>
      </c>
      <c r="F25" s="64" t="s">
        <v>153</v>
      </c>
      <c r="G25" s="64">
        <v>1973.8999999999999</v>
      </c>
      <c r="H25" s="64">
        <v>166.3</v>
      </c>
      <c r="I25" s="64">
        <v>790.30000000000007</v>
      </c>
    </row>
    <row r="26" spans="1:9">
      <c r="A26" s="64" t="s">
        <v>141</v>
      </c>
      <c r="B26" s="64">
        <v>1827.4</v>
      </c>
      <c r="C26" s="64">
        <v>154.4</v>
      </c>
      <c r="D26" s="64">
        <v>735</v>
      </c>
      <c r="F26" s="64" t="s">
        <v>154</v>
      </c>
      <c r="G26" s="64">
        <v>1986.1000000000001</v>
      </c>
      <c r="H26" s="64">
        <v>167</v>
      </c>
      <c r="I26" s="64">
        <v>797.5</v>
      </c>
    </row>
    <row r="27" spans="1:9">
      <c r="A27" s="64" t="s">
        <v>142</v>
      </c>
      <c r="B27" s="64">
        <v>1854.6</v>
      </c>
      <c r="C27" s="64">
        <v>155</v>
      </c>
      <c r="D27" s="64">
        <v>744.5</v>
      </c>
      <c r="F27" s="64" t="s">
        <v>155</v>
      </c>
      <c r="G27" s="64">
        <v>1979.3000000000002</v>
      </c>
      <c r="H27" s="64">
        <v>168.4</v>
      </c>
      <c r="I27" s="64">
        <v>802.5</v>
      </c>
    </row>
    <row r="28" spans="1:9">
      <c r="A28" s="64" t="s">
        <v>143</v>
      </c>
      <c r="B28" s="64">
        <v>1864.8</v>
      </c>
      <c r="C28" s="64">
        <v>155.6</v>
      </c>
      <c r="D28" s="64">
        <v>746.30000000000007</v>
      </c>
      <c r="F28" s="64" t="s">
        <v>156</v>
      </c>
      <c r="G28" s="64">
        <v>1979.3</v>
      </c>
      <c r="H28" s="64">
        <v>168.4</v>
      </c>
      <c r="I28" s="64">
        <v>802.4</v>
      </c>
    </row>
    <row r="29" spans="1:9">
      <c r="A29" s="64" t="s">
        <v>144</v>
      </c>
      <c r="B29" s="64">
        <v>1904.6000000000004</v>
      </c>
      <c r="C29" s="64">
        <v>156.30000000000001</v>
      </c>
      <c r="D29" s="64">
        <v>749.1</v>
      </c>
      <c r="F29" s="64" t="s">
        <v>157</v>
      </c>
      <c r="G29" s="64">
        <v>2012.3000000000002</v>
      </c>
      <c r="H29" s="64">
        <v>169.1</v>
      </c>
      <c r="I29" s="64">
        <v>808.4</v>
      </c>
    </row>
    <row r="30" spans="1:9">
      <c r="A30" s="64" t="s">
        <v>145</v>
      </c>
      <c r="B30" s="64">
        <v>1949.1000000000001</v>
      </c>
      <c r="C30" s="64">
        <v>157.19999999999999</v>
      </c>
      <c r="D30" s="64">
        <v>751.3</v>
      </c>
      <c r="F30" s="64" t="s">
        <v>158</v>
      </c>
      <c r="G30" s="64">
        <v>2030.3999999999999</v>
      </c>
      <c r="H30" s="64">
        <v>169.9</v>
      </c>
      <c r="I30" s="64">
        <v>808.6</v>
      </c>
    </row>
    <row r="31" spans="1:9">
      <c r="A31" s="64" t="s">
        <v>146</v>
      </c>
      <c r="B31" s="64">
        <v>1959.9</v>
      </c>
      <c r="C31" s="64">
        <v>158.30000000000001</v>
      </c>
      <c r="D31" s="64">
        <v>754.3</v>
      </c>
      <c r="F31" s="64" t="s">
        <v>159</v>
      </c>
      <c r="G31" s="64">
        <v>2016.7</v>
      </c>
      <c r="H31" s="64">
        <v>170.6</v>
      </c>
      <c r="I31" s="64">
        <v>809.6</v>
      </c>
    </row>
    <row r="32" spans="1:9">
      <c r="A32" s="64" t="s">
        <v>147</v>
      </c>
      <c r="B32" s="64">
        <v>1924.6999999999998</v>
      </c>
      <c r="C32" s="64">
        <v>159.30000000000001</v>
      </c>
      <c r="D32" s="64">
        <v>758.6</v>
      </c>
      <c r="F32" s="64" t="s">
        <v>160</v>
      </c>
      <c r="G32" s="64">
        <v>1999.9</v>
      </c>
      <c r="H32" s="64">
        <v>171.4</v>
      </c>
      <c r="I32" s="64">
        <v>812.59999999999991</v>
      </c>
    </row>
    <row r="33" spans="1:9">
      <c r="A33" s="64" t="s">
        <v>148</v>
      </c>
      <c r="B33" s="64">
        <v>1883.8000000000002</v>
      </c>
      <c r="C33" s="64">
        <v>161.30000000000001</v>
      </c>
      <c r="D33" s="64">
        <v>770.2</v>
      </c>
      <c r="F33" s="64" t="s">
        <v>161</v>
      </c>
      <c r="G33" s="64">
        <v>1996.5000000000002</v>
      </c>
      <c r="H33" s="64">
        <v>172.2</v>
      </c>
      <c r="I33" s="64">
        <v>817</v>
      </c>
    </row>
    <row r="34" spans="1:9">
      <c r="A34" s="64" t="s">
        <v>149</v>
      </c>
      <c r="B34" s="64">
        <v>1882.8999999999999</v>
      </c>
      <c r="C34" s="64">
        <v>161.69999999999999</v>
      </c>
      <c r="D34" s="64">
        <v>775.59999999999991</v>
      </c>
      <c r="F34" s="64" t="s">
        <v>162</v>
      </c>
      <c r="G34" s="64">
        <v>2018.9000000000003</v>
      </c>
      <c r="H34" s="64">
        <v>173</v>
      </c>
      <c r="I34" s="64">
        <v>821</v>
      </c>
    </row>
    <row r="38" spans="1:9">
      <c r="A38" s="113" t="s">
        <v>1</v>
      </c>
      <c r="B38" s="113" t="s">
        <v>79</v>
      </c>
      <c r="C38" s="113" t="s">
        <v>80</v>
      </c>
      <c r="D38" s="113" t="s">
        <v>81</v>
      </c>
      <c r="E38" s="113" t="s">
        <v>82</v>
      </c>
    </row>
    <row r="39" spans="1:9" ht="30">
      <c r="A39" s="114" t="s">
        <v>163</v>
      </c>
      <c r="B39" s="115">
        <f>(B19-B8)/B8</f>
        <v>1.044546850998352E-3</v>
      </c>
      <c r="C39" s="115">
        <f>(G19-G9)/G9</f>
        <v>6.0799806984739552E-2</v>
      </c>
      <c r="D39" s="115">
        <f>(B34-B23)/B23</f>
        <v>5.1319814517501915E-2</v>
      </c>
      <c r="E39" s="115">
        <f>(G34-G23)/G23</f>
        <v>5.8956202465250629E-2</v>
      </c>
    </row>
    <row r="40" spans="1:9" ht="30">
      <c r="A40" s="114" t="s">
        <v>164</v>
      </c>
      <c r="B40" s="115">
        <f>(C19-C8)/C8</f>
        <v>8.1360946745562143E-2</v>
      </c>
      <c r="C40" s="115">
        <f>(H19-H9)/H9</f>
        <v>3.6759700476514674E-2</v>
      </c>
      <c r="D40" s="115">
        <f>(C34-C23)/C23</f>
        <v>7.2992700729927015E-2</v>
      </c>
      <c r="E40" s="115">
        <f>(H34-H23)/H23</f>
        <v>6.5927295132470656E-2</v>
      </c>
    </row>
    <row r="41" spans="1:9" ht="45">
      <c r="A41" s="114" t="s">
        <v>165</v>
      </c>
      <c r="B41" s="115">
        <f>(D19-D8)/D8</f>
        <v>4.0504451038575598E-2</v>
      </c>
      <c r="C41" s="115">
        <f>(I19-I9)/I9</f>
        <v>3.9852503191036934E-2</v>
      </c>
      <c r="D41" s="115">
        <f>(D34-D23)/D23</f>
        <v>0.10485233520894208</v>
      </c>
      <c r="E41" s="115">
        <f>(I34-I23)/I23</f>
        <v>5.4863163304638224E-2</v>
      </c>
    </row>
    <row r="45" spans="1:9">
      <c r="A45" s="155"/>
      <c r="B45" s="156"/>
      <c r="C45" s="156"/>
      <c r="D45" s="156"/>
      <c r="E45" s="156"/>
      <c r="F45" s="156"/>
      <c r="G45" s="157"/>
    </row>
    <row r="46" spans="1:9" ht="15.75">
      <c r="A46" s="158"/>
      <c r="B46" s="159"/>
      <c r="C46" s="160" t="s">
        <v>167</v>
      </c>
      <c r="D46" s="160"/>
      <c r="E46" s="159"/>
      <c r="F46" s="159"/>
      <c r="G46" s="161"/>
    </row>
    <row r="47" spans="1:9">
      <c r="A47" s="158" t="s">
        <v>168</v>
      </c>
      <c r="B47" s="159"/>
      <c r="C47" s="159"/>
      <c r="D47" s="159"/>
      <c r="E47" s="159"/>
      <c r="F47" s="159"/>
      <c r="G47" s="161"/>
    </row>
    <row r="48" spans="1:9">
      <c r="A48" s="158" t="s">
        <v>169</v>
      </c>
      <c r="B48" s="159"/>
      <c r="C48" s="159"/>
      <c r="D48" s="159"/>
      <c r="E48" s="159"/>
      <c r="F48" s="159"/>
      <c r="G48" s="161"/>
    </row>
    <row r="49" spans="1:7">
      <c r="A49" s="158" t="s">
        <v>170</v>
      </c>
      <c r="B49" s="159"/>
      <c r="C49" s="159"/>
      <c r="D49" s="159"/>
      <c r="E49" s="159"/>
      <c r="F49" s="159"/>
      <c r="G49" s="161"/>
    </row>
    <row r="50" spans="1:7">
      <c r="A50" s="158" t="s">
        <v>171</v>
      </c>
      <c r="B50" s="159"/>
      <c r="C50" s="159"/>
      <c r="D50" s="159"/>
      <c r="E50" s="159"/>
      <c r="F50" s="159"/>
      <c r="G50" s="161"/>
    </row>
    <row r="51" spans="1:7">
      <c r="A51" s="158"/>
      <c r="B51" s="159"/>
      <c r="C51" s="159"/>
      <c r="D51" s="159"/>
      <c r="E51" s="159"/>
      <c r="F51" s="159"/>
      <c r="G51" s="161"/>
    </row>
    <row r="52" spans="1:7">
      <c r="A52" s="158" t="s">
        <v>172</v>
      </c>
      <c r="B52" s="159"/>
      <c r="C52" s="159"/>
      <c r="D52" s="159"/>
      <c r="E52" s="159"/>
      <c r="F52" s="159"/>
      <c r="G52" s="161"/>
    </row>
    <row r="53" spans="1:7">
      <c r="A53" s="158" t="s">
        <v>173</v>
      </c>
      <c r="B53" s="159"/>
      <c r="C53" s="159"/>
      <c r="D53" s="159"/>
      <c r="E53" s="159"/>
      <c r="F53" s="159"/>
      <c r="G53" s="161"/>
    </row>
    <row r="54" spans="1:7">
      <c r="A54" s="158" t="s">
        <v>174</v>
      </c>
      <c r="B54" s="159"/>
      <c r="C54" s="159"/>
      <c r="D54" s="159"/>
      <c r="E54" s="159"/>
      <c r="F54" s="159"/>
      <c r="G54" s="161"/>
    </row>
    <row r="55" spans="1:7">
      <c r="A55" s="158" t="s">
        <v>175</v>
      </c>
      <c r="B55" s="159"/>
      <c r="C55" s="159"/>
      <c r="D55" s="159"/>
      <c r="E55" s="159"/>
      <c r="F55" s="159"/>
      <c r="G55" s="161"/>
    </row>
    <row r="56" spans="1:7">
      <c r="A56" s="158"/>
      <c r="B56" s="159"/>
      <c r="C56" s="159"/>
      <c r="D56" s="159"/>
      <c r="E56" s="159"/>
      <c r="F56" s="159"/>
      <c r="G56" s="161"/>
    </row>
    <row r="57" spans="1:7">
      <c r="A57" s="158" t="s">
        <v>176</v>
      </c>
      <c r="B57" s="159"/>
      <c r="C57" s="159"/>
      <c r="D57" s="159"/>
      <c r="E57" s="159"/>
      <c r="F57" s="159"/>
      <c r="G57" s="161"/>
    </row>
    <row r="58" spans="1:7">
      <c r="A58" s="158" t="s">
        <v>177</v>
      </c>
      <c r="B58" s="159"/>
      <c r="C58" s="159"/>
      <c r="D58" s="159"/>
      <c r="E58" s="159"/>
      <c r="F58" s="159"/>
      <c r="G58" s="161"/>
    </row>
    <row r="59" spans="1:7">
      <c r="A59" s="158" t="s">
        <v>178</v>
      </c>
      <c r="B59" s="159"/>
      <c r="C59" s="159"/>
      <c r="D59" s="159"/>
      <c r="E59" s="159"/>
      <c r="F59" s="159"/>
      <c r="G59" s="161"/>
    </row>
    <row r="60" spans="1:7">
      <c r="A60" s="158" t="s">
        <v>179</v>
      </c>
      <c r="B60" s="159"/>
      <c r="C60" s="159"/>
      <c r="D60" s="159"/>
      <c r="E60" s="159"/>
      <c r="F60" s="159"/>
      <c r="G60" s="161"/>
    </row>
    <row r="61" spans="1:7">
      <c r="A61" s="158"/>
      <c r="B61" s="159"/>
      <c r="C61" s="159"/>
      <c r="D61" s="159"/>
      <c r="E61" s="159"/>
      <c r="F61" s="159"/>
      <c r="G61" s="161"/>
    </row>
    <row r="62" spans="1:7">
      <c r="A62" s="162"/>
      <c r="B62" s="163"/>
      <c r="C62" s="163"/>
      <c r="D62" s="163"/>
      <c r="E62" s="163"/>
      <c r="F62" s="163"/>
      <c r="G62" s="16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B8FD-E514-443E-9012-7488D8EC537D}">
  <dimension ref="A1:N162"/>
  <sheetViews>
    <sheetView showGridLines="0" workbookViewId="0">
      <selection activeCell="A83" sqref="A83"/>
    </sheetView>
  </sheetViews>
  <sheetFormatPr defaultRowHeight="15"/>
  <cols>
    <col min="1" max="1" width="31.140625" bestFit="1" customWidth="1"/>
    <col min="2" max="2" width="9.5703125" bestFit="1" customWidth="1"/>
    <col min="3" max="3" width="7.85546875" bestFit="1" customWidth="1"/>
    <col min="4" max="4" width="8.42578125" bestFit="1" customWidth="1"/>
    <col min="5" max="5" width="8.140625" bestFit="1" customWidth="1"/>
    <col min="6" max="6" width="12.42578125" bestFit="1" customWidth="1"/>
    <col min="7" max="7" width="18.7109375" bestFit="1" customWidth="1"/>
    <col min="8" max="8" width="15.28515625" bestFit="1" customWidth="1"/>
    <col min="9" max="9" width="17.7109375" bestFit="1" customWidth="1"/>
    <col min="10" max="10" width="17.5703125" bestFit="1" customWidth="1"/>
    <col min="11" max="11" width="14.28515625" bestFit="1" customWidth="1"/>
    <col min="12" max="12" width="16.42578125" bestFit="1" customWidth="1"/>
    <col min="13" max="13" width="11.7109375" bestFit="1" customWidth="1"/>
    <col min="14" max="14" width="10.7109375" bestFit="1" customWidth="1"/>
  </cols>
  <sheetData>
    <row r="1" spans="1:14">
      <c r="G1" t="s">
        <v>81</v>
      </c>
    </row>
    <row r="3" spans="1:14" ht="18.75">
      <c r="A3" s="187" t="s">
        <v>227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</row>
    <row r="4" spans="1:14" ht="18.75">
      <c r="A4" s="29" t="s">
        <v>216</v>
      </c>
      <c r="B4" s="30" t="s">
        <v>180</v>
      </c>
      <c r="C4" s="30" t="s">
        <v>181</v>
      </c>
      <c r="D4" s="30" t="s">
        <v>182</v>
      </c>
      <c r="E4" s="30" t="s">
        <v>183</v>
      </c>
      <c r="F4" s="30" t="s">
        <v>184</v>
      </c>
      <c r="G4" s="30" t="s">
        <v>185</v>
      </c>
      <c r="H4" s="30" t="s">
        <v>186</v>
      </c>
      <c r="I4" s="30" t="s">
        <v>187</v>
      </c>
      <c r="J4" s="30" t="s">
        <v>188</v>
      </c>
      <c r="K4" s="30" t="s">
        <v>189</v>
      </c>
      <c r="L4" s="30" t="s">
        <v>190</v>
      </c>
      <c r="M4" s="30" t="s">
        <v>191</v>
      </c>
      <c r="N4" s="30" t="s">
        <v>192</v>
      </c>
    </row>
    <row r="5" spans="1:14" ht="15.75">
      <c r="A5" s="35" t="s">
        <v>226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.75">
      <c r="A6" s="36" t="s">
        <v>228</v>
      </c>
      <c r="B6" s="32">
        <v>23097.82128634103</v>
      </c>
      <c r="C6" s="32">
        <v>17134.221652653792</v>
      </c>
      <c r="D6" s="32">
        <v>24391.22860384245</v>
      </c>
      <c r="E6" s="32">
        <v>28431.99353711386</v>
      </c>
      <c r="F6" s="32">
        <v>40659.068498646011</v>
      </c>
      <c r="G6" s="32">
        <v>34353.850793896505</v>
      </c>
      <c r="H6" s="32">
        <v>33074.491674390949</v>
      </c>
      <c r="I6" s="32">
        <v>40926.853933740225</v>
      </c>
      <c r="J6" s="32">
        <v>52165.863453700425</v>
      </c>
      <c r="K6" s="32">
        <v>55990.924602459359</v>
      </c>
      <c r="L6" s="32">
        <v>48033.558892131798</v>
      </c>
      <c r="M6" s="32">
        <v>61518.692284107237</v>
      </c>
      <c r="N6" s="33">
        <v>459778.56921302364</v>
      </c>
    </row>
    <row r="7" spans="1:14" ht="15.75">
      <c r="A7" s="36" t="s">
        <v>193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3"/>
    </row>
    <row r="8" spans="1:14">
      <c r="A8" s="37" t="s">
        <v>194</v>
      </c>
      <c r="B8" s="32">
        <v>3028.6633525381358</v>
      </c>
      <c r="C8" s="32">
        <v>4080.3823475472832</v>
      </c>
      <c r="D8" s="32">
        <v>3267.7466468534162</v>
      </c>
      <c r="E8" s="32">
        <v>2565.3385494470199</v>
      </c>
      <c r="F8" s="32">
        <v>3400.678271558294</v>
      </c>
      <c r="G8" s="32">
        <v>4559.2961006584646</v>
      </c>
      <c r="H8" s="32">
        <v>4185.4035102476919</v>
      </c>
      <c r="I8" s="32">
        <v>4774.5681477176677</v>
      </c>
      <c r="J8" s="32">
        <v>5254.2569703076897</v>
      </c>
      <c r="K8" s="32">
        <v>5572.3050557540673</v>
      </c>
      <c r="L8" s="32">
        <v>6807.5725751916771</v>
      </c>
      <c r="M8" s="32">
        <v>6256.2470244764118</v>
      </c>
      <c r="N8" s="33">
        <v>53752.458552297823</v>
      </c>
    </row>
    <row r="9" spans="1:14">
      <c r="A9" s="38" t="s">
        <v>195</v>
      </c>
      <c r="B9" s="32">
        <v>0.40333380000000002</v>
      </c>
      <c r="C9" s="32">
        <v>0</v>
      </c>
      <c r="D9" s="32">
        <v>101.93460759999999</v>
      </c>
      <c r="E9" s="32">
        <v>115.6366644653536</v>
      </c>
      <c r="F9" s="32">
        <v>109.04839910000001</v>
      </c>
      <c r="G9" s="32">
        <v>230.52867366527801</v>
      </c>
      <c r="H9" s="32">
        <v>399.56265551059329</v>
      </c>
      <c r="I9" s="32">
        <v>473.67174739591036</v>
      </c>
      <c r="J9" s="32">
        <v>2016.7760473986834</v>
      </c>
      <c r="K9" s="32">
        <v>513.69702615383403</v>
      </c>
      <c r="L9" s="32">
        <v>357.41354279339203</v>
      </c>
      <c r="M9" s="32">
        <v>630.95253884394833</v>
      </c>
      <c r="N9" s="33">
        <v>4949.6252367269935</v>
      </c>
    </row>
    <row r="10" spans="1:14">
      <c r="A10" s="37" t="s">
        <v>196</v>
      </c>
      <c r="B10" s="32">
        <v>63.385743953439999</v>
      </c>
      <c r="C10" s="32">
        <v>86.609988647199998</v>
      </c>
      <c r="D10" s="32">
        <v>464.45646922783999</v>
      </c>
      <c r="E10" s="32">
        <v>488.29294905733002</v>
      </c>
      <c r="F10" s="32">
        <v>422.69160846475</v>
      </c>
      <c r="G10" s="32">
        <v>287.53547600000002</v>
      </c>
      <c r="H10" s="32">
        <v>472.80765559999998</v>
      </c>
      <c r="I10" s="32">
        <v>540.05155439999999</v>
      </c>
      <c r="J10" s="32">
        <v>272.71709980000003</v>
      </c>
      <c r="K10" s="32">
        <v>170.25713480000002</v>
      </c>
      <c r="L10" s="32">
        <v>425.83151190000001</v>
      </c>
      <c r="M10" s="32">
        <v>149.4064343</v>
      </c>
      <c r="N10" s="33">
        <v>3844.0436261505602</v>
      </c>
    </row>
    <row r="11" spans="1:14">
      <c r="A11" s="37" t="s">
        <v>197</v>
      </c>
      <c r="B11" s="32">
        <v>2.5390999999999999E-3</v>
      </c>
      <c r="C11" s="32">
        <v>1.0004E-3</v>
      </c>
      <c r="D11" s="32">
        <v>0</v>
      </c>
      <c r="E11" s="32">
        <v>2.7309000000000001E-3</v>
      </c>
      <c r="F11" s="32">
        <v>0</v>
      </c>
      <c r="G11" s="32">
        <v>0</v>
      </c>
      <c r="H11" s="32">
        <v>3.5579999999999997E-4</v>
      </c>
      <c r="I11" s="32">
        <v>0</v>
      </c>
      <c r="J11" s="32">
        <v>0</v>
      </c>
      <c r="K11" s="32">
        <v>0</v>
      </c>
      <c r="L11" s="32">
        <v>2.0701000000000001E-3</v>
      </c>
      <c r="M11" s="32">
        <v>0</v>
      </c>
      <c r="N11" s="33">
        <v>8.6963000000000006E-3</v>
      </c>
    </row>
    <row r="12" spans="1:14">
      <c r="A12" s="38" t="s">
        <v>198</v>
      </c>
      <c r="B12" s="32">
        <v>0</v>
      </c>
      <c r="C12" s="32">
        <v>0</v>
      </c>
      <c r="D12" s="32">
        <v>2.6053000000000001E-3</v>
      </c>
      <c r="E12" s="32">
        <v>9.3752490000000002</v>
      </c>
      <c r="F12" s="32">
        <v>0</v>
      </c>
      <c r="G12" s="32">
        <v>0.62245360000000005</v>
      </c>
      <c r="H12" s="32">
        <v>2.0913014999999997</v>
      </c>
      <c r="I12" s="32">
        <v>1.8352500000000001E-2</v>
      </c>
      <c r="J12" s="32">
        <v>2.5693500000000001E-2</v>
      </c>
      <c r="K12" s="32">
        <v>0</v>
      </c>
      <c r="L12" s="32">
        <v>0</v>
      </c>
      <c r="M12" s="32">
        <v>1.8431000000000001E-3</v>
      </c>
      <c r="N12" s="33">
        <v>12.137498500000001</v>
      </c>
    </row>
    <row r="13" spans="1:14">
      <c r="A13" s="37" t="s">
        <v>199</v>
      </c>
      <c r="B13" s="32">
        <v>83.844893667091327</v>
      </c>
      <c r="C13" s="32">
        <v>74.723229063232765</v>
      </c>
      <c r="D13" s="32">
        <v>199.16736699999998</v>
      </c>
      <c r="E13" s="32">
        <v>394.9717086</v>
      </c>
      <c r="F13" s="32">
        <v>11.737663100000002</v>
      </c>
      <c r="G13" s="32">
        <v>7.5919416999999996</v>
      </c>
      <c r="H13" s="32">
        <v>35.406694200000004</v>
      </c>
      <c r="I13" s="32">
        <v>9.2796564000000004</v>
      </c>
      <c r="J13" s="32">
        <v>797.02638594386258</v>
      </c>
      <c r="K13" s="32">
        <v>242.43263504394091</v>
      </c>
      <c r="L13" s="32">
        <v>67.237493900000004</v>
      </c>
      <c r="M13" s="32">
        <v>36.623313100000004</v>
      </c>
      <c r="N13" s="33">
        <v>1960.0429817181275</v>
      </c>
    </row>
    <row r="14" spans="1:14">
      <c r="A14" s="37" t="s">
        <v>200</v>
      </c>
      <c r="B14" s="32">
        <v>735.3166190000004</v>
      </c>
      <c r="C14" s="32">
        <v>407.72031679999986</v>
      </c>
      <c r="D14" s="32">
        <v>443.65466209999983</v>
      </c>
      <c r="E14" s="32">
        <v>747.21747595846989</v>
      </c>
      <c r="F14" s="32">
        <v>886.39726012439451</v>
      </c>
      <c r="G14" s="32">
        <v>922.99869749999982</v>
      </c>
      <c r="H14" s="32">
        <v>1127.8781033194709</v>
      </c>
      <c r="I14" s="32">
        <v>1370.4986952698562</v>
      </c>
      <c r="J14" s="32">
        <v>1344.134791641525</v>
      </c>
      <c r="K14" s="32">
        <v>1452.6090646475609</v>
      </c>
      <c r="L14" s="32">
        <v>1385.0956779623809</v>
      </c>
      <c r="M14" s="32">
        <v>1346.7315984108504</v>
      </c>
      <c r="N14" s="33">
        <v>12170.252962734508</v>
      </c>
    </row>
    <row r="15" spans="1:14">
      <c r="A15" s="37" t="s">
        <v>201</v>
      </c>
      <c r="B15" s="32">
        <v>555.10848119890773</v>
      </c>
      <c r="C15" s="32">
        <v>639.86338558528996</v>
      </c>
      <c r="D15" s="32">
        <v>964.77656156002297</v>
      </c>
      <c r="E15" s="32">
        <v>2459.7076130893511</v>
      </c>
      <c r="F15" s="32">
        <v>1005.471106441974</v>
      </c>
      <c r="G15" s="32">
        <v>493.74213078692128</v>
      </c>
      <c r="H15" s="32">
        <v>328.048935753482</v>
      </c>
      <c r="I15" s="32">
        <v>495.96970273396511</v>
      </c>
      <c r="J15" s="32">
        <v>1138.160132364475</v>
      </c>
      <c r="K15" s="32">
        <v>949.73541854747407</v>
      </c>
      <c r="L15" s="32">
        <v>2109.5523972849037</v>
      </c>
      <c r="M15" s="32">
        <v>3171.5482803821787</v>
      </c>
      <c r="N15" s="33">
        <v>14311.684145728948</v>
      </c>
    </row>
    <row r="16" spans="1:14">
      <c r="A16" s="37" t="s">
        <v>202</v>
      </c>
      <c r="B16" s="32">
        <v>191.87441810000001</v>
      </c>
      <c r="C16" s="32">
        <v>180.86787529999998</v>
      </c>
      <c r="D16" s="32">
        <v>274.95764009999999</v>
      </c>
      <c r="E16" s="32">
        <v>290.28508020000004</v>
      </c>
      <c r="F16" s="32">
        <v>154.8337665</v>
      </c>
      <c r="G16" s="32">
        <v>195.88350410000001</v>
      </c>
      <c r="H16" s="32">
        <v>196.86051840000002</v>
      </c>
      <c r="I16" s="32">
        <v>293.70641760000001</v>
      </c>
      <c r="J16" s="32">
        <v>464.99006789999999</v>
      </c>
      <c r="K16" s="32">
        <v>670.91220650000014</v>
      </c>
      <c r="L16" s="32">
        <v>697.81682327188003</v>
      </c>
      <c r="M16" s="32">
        <v>712.22570957661014</v>
      </c>
      <c r="N16" s="33">
        <v>4325.2140275484899</v>
      </c>
    </row>
    <row r="17" spans="1:14">
      <c r="A17" s="37" t="s">
        <v>203</v>
      </c>
      <c r="B17" s="32">
        <v>386.73427810000004</v>
      </c>
      <c r="C17" s="32">
        <v>1138.4077264</v>
      </c>
      <c r="D17" s="32">
        <v>501.11749720000006</v>
      </c>
      <c r="E17" s="32">
        <v>630.69386889999998</v>
      </c>
      <c r="F17" s="32">
        <v>592.57781039999998</v>
      </c>
      <c r="G17" s="32">
        <v>482.70316490000005</v>
      </c>
      <c r="H17" s="32">
        <v>519.7697786</v>
      </c>
      <c r="I17" s="32">
        <v>495.57564509999997</v>
      </c>
      <c r="J17" s="32">
        <v>500.87192909999993</v>
      </c>
      <c r="K17" s="32">
        <v>307.32140499999997</v>
      </c>
      <c r="L17" s="32">
        <v>150.2582668</v>
      </c>
      <c r="M17" s="32">
        <v>703.62129870000001</v>
      </c>
      <c r="N17" s="33">
        <v>6409.6526691999989</v>
      </c>
    </row>
    <row r="18" spans="1:14">
      <c r="A18" s="37" t="s">
        <v>204</v>
      </c>
      <c r="B18" s="32">
        <v>628.77301123375003</v>
      </c>
      <c r="C18" s="32">
        <v>478.89013616</v>
      </c>
      <c r="D18" s="32">
        <v>762.24358941170863</v>
      </c>
      <c r="E18" s="32">
        <v>872.57490125112611</v>
      </c>
      <c r="F18" s="32">
        <v>476.28246573631679</v>
      </c>
      <c r="G18" s="32">
        <v>369.22605322490006</v>
      </c>
      <c r="H18" s="32">
        <v>523.00391556361592</v>
      </c>
      <c r="I18" s="32">
        <v>388.158773977088</v>
      </c>
      <c r="J18" s="32">
        <v>494.1323029701984</v>
      </c>
      <c r="K18" s="32">
        <v>825.28410596840001</v>
      </c>
      <c r="L18" s="32">
        <v>931.25181105282354</v>
      </c>
      <c r="M18" s="32">
        <v>944.72380576032697</v>
      </c>
      <c r="N18" s="33">
        <v>7694.5448723102536</v>
      </c>
    </row>
    <row r="19" spans="1:14" ht="15.75">
      <c r="A19" s="42" t="s">
        <v>205</v>
      </c>
      <c r="B19" s="34">
        <v>5674.1066706913252</v>
      </c>
      <c r="C19" s="34">
        <v>7087.4660059030057</v>
      </c>
      <c r="D19" s="34">
        <v>6980.0576463529887</v>
      </c>
      <c r="E19" s="34">
        <v>8574.0967908686507</v>
      </c>
      <c r="F19" s="34">
        <v>7059.7183514257304</v>
      </c>
      <c r="G19" s="34">
        <v>7550.1281961355635</v>
      </c>
      <c r="H19" s="34">
        <v>7790.8334244948528</v>
      </c>
      <c r="I19" s="34">
        <v>8841.4986930944888</v>
      </c>
      <c r="J19" s="34">
        <v>12283.091420926434</v>
      </c>
      <c r="K19" s="34">
        <v>10704.554052415277</v>
      </c>
      <c r="L19" s="34">
        <v>12932.032170257056</v>
      </c>
      <c r="M19" s="34">
        <v>13952.081846650328</v>
      </c>
      <c r="N19" s="34">
        <v>109429.66526921571</v>
      </c>
    </row>
    <row r="20" spans="1:14" ht="15.75">
      <c r="A20" s="39" t="s">
        <v>206</v>
      </c>
      <c r="B20" s="34">
        <v>28771.927957032356</v>
      </c>
      <c r="C20" s="34">
        <v>24221.687658556799</v>
      </c>
      <c r="D20" s="34">
        <v>31371.286250195437</v>
      </c>
      <c r="E20" s="34">
        <v>37006.090327982514</v>
      </c>
      <c r="F20" s="34">
        <v>47718.786850071745</v>
      </c>
      <c r="G20" s="34">
        <v>41903.978990032068</v>
      </c>
      <c r="H20" s="34">
        <v>40865.325098885805</v>
      </c>
      <c r="I20" s="34">
        <v>49768.352626834712</v>
      </c>
      <c r="J20" s="34">
        <v>64448.954874626856</v>
      </c>
      <c r="K20" s="34">
        <v>66695.478654874634</v>
      </c>
      <c r="L20" s="34">
        <v>60965.591062388856</v>
      </c>
      <c r="M20" s="34">
        <v>75470.774130757563</v>
      </c>
      <c r="N20" s="34">
        <v>569208.23448223935</v>
      </c>
    </row>
    <row r="21" spans="1:14" ht="15.75">
      <c r="A21" s="40" t="s">
        <v>229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3"/>
    </row>
    <row r="22" spans="1:14">
      <c r="A22" s="43" t="s">
        <v>194</v>
      </c>
      <c r="B22" s="32">
        <v>155.446878</v>
      </c>
      <c r="C22" s="32">
        <v>91.700390799999994</v>
      </c>
      <c r="D22" s="32">
        <v>105.9198383</v>
      </c>
      <c r="E22" s="32">
        <v>103.86569919999999</v>
      </c>
      <c r="F22" s="32">
        <v>114.5435052</v>
      </c>
      <c r="G22" s="32">
        <v>128.22865697</v>
      </c>
      <c r="H22" s="32">
        <v>124.2146614</v>
      </c>
      <c r="I22" s="32">
        <v>143.86175349999999</v>
      </c>
      <c r="J22" s="32">
        <v>170.76146460000001</v>
      </c>
      <c r="K22" s="32">
        <v>195.88343259999999</v>
      </c>
      <c r="L22" s="32">
        <v>207.2172376</v>
      </c>
      <c r="M22" s="32">
        <v>255.02190820000001</v>
      </c>
      <c r="N22" s="33">
        <v>1796.6654263700002</v>
      </c>
    </row>
    <row r="23" spans="1:14">
      <c r="A23" s="44" t="s">
        <v>217</v>
      </c>
      <c r="B23" s="32">
        <v>1381.7336046734495</v>
      </c>
      <c r="C23" s="32">
        <v>2194.3455142640364</v>
      </c>
      <c r="D23" s="32">
        <v>2815.1927810390403</v>
      </c>
      <c r="E23" s="32">
        <v>3024.7832033696504</v>
      </c>
      <c r="F23" s="32">
        <v>2809.2707406456307</v>
      </c>
      <c r="G23" s="32">
        <v>2847.7059307795516</v>
      </c>
      <c r="H23" s="32">
        <v>2299.5540512528996</v>
      </c>
      <c r="I23" s="32">
        <v>2777.0954285438402</v>
      </c>
      <c r="J23" s="32">
        <v>3131.5066995340239</v>
      </c>
      <c r="K23" s="32">
        <v>3422.3366282318402</v>
      </c>
      <c r="L23" s="32">
        <v>3935.5538480559999</v>
      </c>
      <c r="M23" s="32">
        <v>5890.5395789510621</v>
      </c>
      <c r="N23" s="33">
        <v>36529.618009341022</v>
      </c>
    </row>
    <row r="24" spans="1:14">
      <c r="A24" s="43" t="s">
        <v>218</v>
      </c>
      <c r="B24" s="32">
        <v>655.66739518066811</v>
      </c>
      <c r="C24" s="32">
        <v>781.74544191598534</v>
      </c>
      <c r="D24" s="32">
        <v>1164.3823528738139</v>
      </c>
      <c r="E24" s="32">
        <v>895.23251406672603</v>
      </c>
      <c r="F24" s="32">
        <v>1622.3321342989757</v>
      </c>
      <c r="G24" s="32">
        <v>1717.4900534805142</v>
      </c>
      <c r="H24" s="32">
        <v>801.6063452848</v>
      </c>
      <c r="I24" s="32">
        <v>1212.35633166873</v>
      </c>
      <c r="J24" s="32">
        <v>1846.2792666603623</v>
      </c>
      <c r="K24" s="32">
        <v>2210.2160551014922</v>
      </c>
      <c r="L24" s="32">
        <v>2282.7482927700735</v>
      </c>
      <c r="M24" s="32">
        <v>3452.7649996716973</v>
      </c>
      <c r="N24" s="33">
        <v>18642.821182973839</v>
      </c>
    </row>
    <row r="25" spans="1:14">
      <c r="A25" s="43" t="s">
        <v>219</v>
      </c>
      <c r="B25" s="32">
        <v>628.99369027669024</v>
      </c>
      <c r="C25" s="32">
        <v>436.58388847000003</v>
      </c>
      <c r="D25" s="32">
        <v>574.16678823106042</v>
      </c>
      <c r="E25" s="32">
        <v>579.59253644532009</v>
      </c>
      <c r="F25" s="32">
        <v>372.74702348447533</v>
      </c>
      <c r="G25" s="32">
        <v>633.83366631401213</v>
      </c>
      <c r="H25" s="32">
        <v>423.12917131834394</v>
      </c>
      <c r="I25" s="32">
        <v>718.48285314600002</v>
      </c>
      <c r="J25" s="32">
        <v>917.25791758283185</v>
      </c>
      <c r="K25" s="32">
        <v>989.10262843600003</v>
      </c>
      <c r="L25" s="32">
        <v>1581.758552644</v>
      </c>
      <c r="M25" s="32">
        <v>1521.1674765816956</v>
      </c>
      <c r="N25" s="33">
        <v>9376.8161929304297</v>
      </c>
    </row>
    <row r="26" spans="1:14">
      <c r="A26" s="38" t="s">
        <v>198</v>
      </c>
      <c r="B26" s="32">
        <v>9.5148200000000002E-2</v>
      </c>
      <c r="C26" s="32">
        <v>7.7535300000000001E-2</v>
      </c>
      <c r="D26" s="32">
        <v>1.5432243999999999</v>
      </c>
      <c r="E26" s="32">
        <v>4.4183477</v>
      </c>
      <c r="F26" s="32">
        <v>2.1868382999999998</v>
      </c>
      <c r="G26" s="32">
        <v>1.9761498</v>
      </c>
      <c r="H26" s="32">
        <v>6.2903462000000001</v>
      </c>
      <c r="I26" s="32">
        <v>5.5339283000000004</v>
      </c>
      <c r="J26" s="32">
        <v>6.6919013999999999</v>
      </c>
      <c r="K26" s="32">
        <v>6.7677021999999996</v>
      </c>
      <c r="L26" s="32">
        <v>5.4328130000000003</v>
      </c>
      <c r="M26" s="32">
        <v>7.4026478999999998</v>
      </c>
      <c r="N26" s="33">
        <v>48.416582699999999</v>
      </c>
    </row>
    <row r="27" spans="1:14">
      <c r="A27" s="37" t="s">
        <v>199</v>
      </c>
      <c r="B27" s="32">
        <v>5441.8585836798611</v>
      </c>
      <c r="C27" s="32">
        <v>4816.3194116930454</v>
      </c>
      <c r="D27" s="32">
        <v>5162.7118022447848</v>
      </c>
      <c r="E27" s="32">
        <v>5836.6397896029266</v>
      </c>
      <c r="F27" s="32">
        <v>7935.0185809133909</v>
      </c>
      <c r="G27" s="32">
        <v>6628.566553341836</v>
      </c>
      <c r="H27" s="32">
        <v>5699.8198771966836</v>
      </c>
      <c r="I27" s="32">
        <v>5811.1369232987936</v>
      </c>
      <c r="J27" s="32">
        <v>7591.7586386863186</v>
      </c>
      <c r="K27" s="32">
        <v>7555.9881576832968</v>
      </c>
      <c r="L27" s="32">
        <v>7727.0683518801516</v>
      </c>
      <c r="M27" s="32">
        <v>11403.864568672729</v>
      </c>
      <c r="N27" s="33">
        <v>81610.751238893819</v>
      </c>
    </row>
    <row r="28" spans="1:14">
      <c r="A28" s="37" t="s">
        <v>220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3">
        <v>0</v>
      </c>
    </row>
    <row r="29" spans="1:14">
      <c r="A29" s="37" t="s">
        <v>221</v>
      </c>
      <c r="B29" s="32">
        <v>0</v>
      </c>
      <c r="C29" s="32">
        <v>9.704523172</v>
      </c>
      <c r="D29" s="32">
        <v>13.621420000000001</v>
      </c>
      <c r="E29" s="32">
        <v>15.448790000000001</v>
      </c>
      <c r="F29" s="32">
        <v>6.22</v>
      </c>
      <c r="G29" s="32">
        <v>7.17</v>
      </c>
      <c r="H29" s="32">
        <v>6.65</v>
      </c>
      <c r="I29" s="32">
        <v>6.1700000000000008</v>
      </c>
      <c r="J29" s="32">
        <v>5.23</v>
      </c>
      <c r="K29" s="32">
        <v>5.2200000000000006</v>
      </c>
      <c r="L29" s="32">
        <v>7.36</v>
      </c>
      <c r="M29" s="32">
        <v>10.15</v>
      </c>
      <c r="N29" s="33">
        <v>92.944733172000014</v>
      </c>
    </row>
    <row r="30" spans="1:14">
      <c r="A30" s="37" t="s">
        <v>201</v>
      </c>
      <c r="B30" s="32">
        <v>154.63447308675001</v>
      </c>
      <c r="C30" s="32">
        <v>290.60064880251838</v>
      </c>
      <c r="D30" s="32">
        <v>259.84519381299998</v>
      </c>
      <c r="E30" s="32">
        <v>91.29430736205515</v>
      </c>
      <c r="F30" s="32">
        <v>0</v>
      </c>
      <c r="G30" s="32">
        <v>32.890422399999999</v>
      </c>
      <c r="H30" s="32">
        <v>143.0235567</v>
      </c>
      <c r="I30" s="32">
        <v>51.3165513</v>
      </c>
      <c r="J30" s="32">
        <v>113.39126780000001</v>
      </c>
      <c r="K30" s="32">
        <v>286.71380959999999</v>
      </c>
      <c r="L30" s="32">
        <v>235.76860700000003</v>
      </c>
      <c r="M30" s="32">
        <v>658.88088140000002</v>
      </c>
      <c r="N30" s="33">
        <v>2318.3597192643233</v>
      </c>
    </row>
    <row r="31" spans="1:14">
      <c r="A31" s="37" t="s">
        <v>202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6.6969465000000001</v>
      </c>
      <c r="H31" s="32">
        <v>6.1853821</v>
      </c>
      <c r="I31" s="32">
        <v>0.1906253</v>
      </c>
      <c r="J31" s="32">
        <v>8.0361574000000005</v>
      </c>
      <c r="K31" s="32">
        <v>0.32431140000000003</v>
      </c>
      <c r="L31" s="32">
        <v>0.1052075</v>
      </c>
      <c r="M31" s="32">
        <v>1.9467151</v>
      </c>
      <c r="N31" s="33">
        <v>23.485345299999999</v>
      </c>
    </row>
    <row r="32" spans="1:14">
      <c r="A32" s="37" t="s">
        <v>222</v>
      </c>
      <c r="B32" s="32">
        <v>27.6517713</v>
      </c>
      <c r="C32" s="32">
        <v>81.679647447999997</v>
      </c>
      <c r="D32" s="32">
        <v>146.39032913099999</v>
      </c>
      <c r="E32" s="32">
        <v>22.755857902999999</v>
      </c>
      <c r="F32" s="32">
        <v>3.5020179850000002</v>
      </c>
      <c r="G32" s="32">
        <v>2.8089626887499999</v>
      </c>
      <c r="H32" s="32">
        <v>0.32922004500000002</v>
      </c>
      <c r="I32" s="32">
        <v>0.61548763299999998</v>
      </c>
      <c r="J32" s="32">
        <v>0.99015475399999986</v>
      </c>
      <c r="K32" s="32">
        <v>2.25427036</v>
      </c>
      <c r="L32" s="32">
        <v>2.4003686849999997</v>
      </c>
      <c r="M32" s="32">
        <v>0.75333070000000002</v>
      </c>
      <c r="N32" s="33">
        <v>292.13141863275001</v>
      </c>
    </row>
    <row r="33" spans="1:14">
      <c r="A33" s="37" t="s">
        <v>223</v>
      </c>
      <c r="B33" s="32">
        <v>558.61939684349989</v>
      </c>
      <c r="C33" s="32">
        <v>1023.0439134365689</v>
      </c>
      <c r="D33" s="32">
        <v>492.28350541285744</v>
      </c>
      <c r="E33" s="32">
        <v>444.88530883358197</v>
      </c>
      <c r="F33" s="32">
        <v>512.44781729399983</v>
      </c>
      <c r="G33" s="32">
        <v>546.39324282528059</v>
      </c>
      <c r="H33" s="32">
        <v>377.2399526506</v>
      </c>
      <c r="I33" s="32">
        <v>333.47897643832005</v>
      </c>
      <c r="J33" s="32">
        <v>298.95637884650006</v>
      </c>
      <c r="K33" s="32">
        <v>464.54155146467997</v>
      </c>
      <c r="L33" s="32">
        <v>331.86515404841998</v>
      </c>
      <c r="M33" s="32">
        <v>1051.9455209650901</v>
      </c>
      <c r="N33" s="33">
        <v>6435.7007190593995</v>
      </c>
    </row>
    <row r="34" spans="1:14" ht="15.75">
      <c r="A34" s="41" t="s">
        <v>224</v>
      </c>
      <c r="B34" s="34">
        <v>9004.700941240917</v>
      </c>
      <c r="C34" s="34">
        <v>9725.800915302154</v>
      </c>
      <c r="D34" s="34">
        <v>10736.057235445556</v>
      </c>
      <c r="E34" s="34">
        <v>11018.916354483259</v>
      </c>
      <c r="F34" s="34">
        <v>13378.268658121471</v>
      </c>
      <c r="G34" s="34">
        <v>12553.760585099946</v>
      </c>
      <c r="H34" s="34">
        <v>9888.0425641483271</v>
      </c>
      <c r="I34" s="34">
        <v>11060.238859128685</v>
      </c>
      <c r="J34" s="34">
        <v>14090.859847264035</v>
      </c>
      <c r="K34" s="34">
        <v>15139.348547077307</v>
      </c>
      <c r="L34" s="34">
        <v>16317.278433183646</v>
      </c>
      <c r="M34" s="34">
        <v>24254.437628142277</v>
      </c>
      <c r="N34" s="34">
        <v>157167.71056863756</v>
      </c>
    </row>
    <row r="35" spans="1:14" ht="15.75">
      <c r="A35" s="39" t="s">
        <v>225</v>
      </c>
      <c r="B35" s="34">
        <v>19767.227015791439</v>
      </c>
      <c r="C35" s="34">
        <v>14495.886743254645</v>
      </c>
      <c r="D35" s="34">
        <v>20635.229014749879</v>
      </c>
      <c r="E35" s="34">
        <v>25987.173973499255</v>
      </c>
      <c r="F35" s="34">
        <v>34340.518191950272</v>
      </c>
      <c r="G35" s="34">
        <v>29350.218404932122</v>
      </c>
      <c r="H35" s="34">
        <v>30977.282534737478</v>
      </c>
      <c r="I35" s="34">
        <v>38708.113767706025</v>
      </c>
      <c r="J35" s="34">
        <v>50358.095027362819</v>
      </c>
      <c r="K35" s="34">
        <v>51556.130107797326</v>
      </c>
      <c r="L35" s="34">
        <v>44648.312629205211</v>
      </c>
      <c r="M35" s="34">
        <v>51216.33650261529</v>
      </c>
      <c r="N35" s="34">
        <v>412040.52391360176</v>
      </c>
    </row>
    <row r="40" spans="1:14">
      <c r="H40" t="s">
        <v>82</v>
      </c>
    </row>
    <row r="42" spans="1:14" ht="18.75">
      <c r="A42" s="187" t="s">
        <v>227</v>
      </c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</row>
    <row r="43" spans="1:14" ht="18.75">
      <c r="A43" s="29" t="s">
        <v>216</v>
      </c>
      <c r="B43" s="30" t="s">
        <v>180</v>
      </c>
      <c r="C43" s="30" t="s">
        <v>181</v>
      </c>
      <c r="D43" s="30" t="s">
        <v>182</v>
      </c>
      <c r="E43" s="30" t="s">
        <v>183</v>
      </c>
      <c r="F43" s="30" t="s">
        <v>184</v>
      </c>
      <c r="G43" s="30" t="s">
        <v>185</v>
      </c>
      <c r="H43" s="30" t="s">
        <v>186</v>
      </c>
      <c r="I43" s="30" t="s">
        <v>187</v>
      </c>
      <c r="J43" s="30" t="s">
        <v>188</v>
      </c>
      <c r="K43" s="30" t="s">
        <v>189</v>
      </c>
      <c r="L43" s="30" t="s">
        <v>190</v>
      </c>
      <c r="M43" s="30" t="s">
        <v>191</v>
      </c>
      <c r="N43" s="30" t="s">
        <v>192</v>
      </c>
    </row>
    <row r="44" spans="1:14" ht="15.75">
      <c r="A44" s="35" t="s">
        <v>226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 ht="15.75">
      <c r="A45" s="36" t="s">
        <v>228</v>
      </c>
      <c r="B45" s="32">
        <v>63309.498622749867</v>
      </c>
      <c r="C45" s="32">
        <v>60800.383481587211</v>
      </c>
      <c r="D45" s="32">
        <v>61073.298999169296</v>
      </c>
      <c r="E45" s="32">
        <v>59460.950438057756</v>
      </c>
      <c r="F45" s="32">
        <v>67310.659830633638</v>
      </c>
      <c r="G45" s="32">
        <v>69109.876194440018</v>
      </c>
      <c r="H45" s="32">
        <v>72054.19693085934</v>
      </c>
      <c r="I45" s="32">
        <v>79009.388695268004</v>
      </c>
      <c r="J45" s="32">
        <v>81771.141778992853</v>
      </c>
      <c r="K45" s="32">
        <v>86692.515382787504</v>
      </c>
      <c r="L45" s="32">
        <v>87441.416368947481</v>
      </c>
      <c r="M45" s="32">
        <v>113228.86524779514</v>
      </c>
      <c r="N45" s="33">
        <v>901262.19197128818</v>
      </c>
    </row>
    <row r="46" spans="1:14" ht="15.75">
      <c r="A46" s="36" t="s">
        <v>193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3"/>
    </row>
    <row r="47" spans="1:14">
      <c r="A47" s="37" t="s">
        <v>194</v>
      </c>
      <c r="B47" s="32">
        <v>4331.0805045535817</v>
      </c>
      <c r="C47" s="32">
        <v>3901.8497085357071</v>
      </c>
      <c r="D47" s="32">
        <v>5595.704520158647</v>
      </c>
      <c r="E47" s="32">
        <v>6495.7335331540489</v>
      </c>
      <c r="F47" s="32">
        <v>8248.4288123209008</v>
      </c>
      <c r="G47" s="32">
        <v>7704.7650736206797</v>
      </c>
      <c r="H47" s="32">
        <v>9772.1868439781229</v>
      </c>
      <c r="I47" s="32">
        <v>10281.785349314856</v>
      </c>
      <c r="J47" s="32">
        <v>9846.5423623025563</v>
      </c>
      <c r="K47" s="32">
        <v>7748.1723591628743</v>
      </c>
      <c r="L47" s="32">
        <v>7419.0823997762782</v>
      </c>
      <c r="M47" s="32">
        <v>10123.066217309477</v>
      </c>
      <c r="N47" s="33">
        <v>91468.397684187716</v>
      </c>
    </row>
    <row r="48" spans="1:14">
      <c r="A48" s="38" t="s">
        <v>195</v>
      </c>
      <c r="B48" s="32">
        <v>349.4550366345606</v>
      </c>
      <c r="C48" s="32">
        <v>0</v>
      </c>
      <c r="D48" s="32">
        <v>0</v>
      </c>
      <c r="E48" s="32">
        <v>0.14789540000000001</v>
      </c>
      <c r="F48" s="32">
        <v>0</v>
      </c>
      <c r="G48" s="32">
        <v>592.97964412445003</v>
      </c>
      <c r="H48" s="32">
        <v>2753.5997885095185</v>
      </c>
      <c r="I48" s="32">
        <v>198.40835123955645</v>
      </c>
      <c r="J48" s="32">
        <v>0.13733629999999999</v>
      </c>
      <c r="K48" s="32">
        <v>0</v>
      </c>
      <c r="L48" s="32">
        <v>7.4936600000000006E-2</v>
      </c>
      <c r="M48" s="32">
        <v>0</v>
      </c>
      <c r="N48" s="33">
        <v>3894.802988808085</v>
      </c>
    </row>
    <row r="49" spans="1:14">
      <c r="A49" s="37" t="s">
        <v>196</v>
      </c>
      <c r="B49" s="32">
        <v>169.3745448352459</v>
      </c>
      <c r="C49" s="32">
        <v>179.870949</v>
      </c>
      <c r="D49" s="32">
        <v>184.24156441702931</v>
      </c>
      <c r="E49" s="32">
        <v>0</v>
      </c>
      <c r="F49" s="32">
        <v>0</v>
      </c>
      <c r="G49" s="32">
        <v>0</v>
      </c>
      <c r="H49" s="32">
        <v>0</v>
      </c>
      <c r="I49" s="32">
        <v>121.39173630000001</v>
      </c>
      <c r="J49" s="32">
        <v>0</v>
      </c>
      <c r="K49" s="32">
        <v>0</v>
      </c>
      <c r="L49" s="32">
        <v>0</v>
      </c>
      <c r="M49" s="32">
        <v>843.91668989999994</v>
      </c>
      <c r="N49" s="33">
        <v>1498.7954844522751</v>
      </c>
    </row>
    <row r="50" spans="1:14">
      <c r="A50" s="37" t="s">
        <v>197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3">
        <v>0</v>
      </c>
    </row>
    <row r="51" spans="1:14">
      <c r="A51" s="38" t="s">
        <v>198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3">
        <v>0</v>
      </c>
    </row>
    <row r="52" spans="1:14">
      <c r="A52" s="37" t="s">
        <v>199</v>
      </c>
      <c r="B52" s="32">
        <v>10.8569897</v>
      </c>
      <c r="C52" s="32">
        <v>19.542610300000003</v>
      </c>
      <c r="D52" s="32">
        <v>6.5960564000000002</v>
      </c>
      <c r="E52" s="32">
        <v>4.8623181000000004</v>
      </c>
      <c r="F52" s="32">
        <v>20.7515882</v>
      </c>
      <c r="G52" s="32">
        <v>21.584827699999998</v>
      </c>
      <c r="H52" s="32">
        <v>10.921708600000001</v>
      </c>
      <c r="I52" s="32">
        <v>35.7928821</v>
      </c>
      <c r="J52" s="32">
        <v>30.897298999999997</v>
      </c>
      <c r="K52" s="32">
        <v>17.471872600000001</v>
      </c>
      <c r="L52" s="32">
        <v>35.573634900000002</v>
      </c>
      <c r="M52" s="32">
        <v>38.134251599999999</v>
      </c>
      <c r="N52" s="33">
        <v>252.98603920000002</v>
      </c>
    </row>
    <row r="53" spans="1:14">
      <c r="A53" s="37" t="s">
        <v>200</v>
      </c>
      <c r="B53" s="32">
        <v>1866.1582330269998</v>
      </c>
      <c r="C53" s="32">
        <v>1665.0693524753249</v>
      </c>
      <c r="D53" s="32">
        <v>1332.6023745</v>
      </c>
      <c r="E53" s="32">
        <v>1368.84348327055</v>
      </c>
      <c r="F53" s="32">
        <v>1584.2582096367328</v>
      </c>
      <c r="G53" s="32">
        <v>1559.2016386314169</v>
      </c>
      <c r="H53" s="32">
        <v>2181.2363866461196</v>
      </c>
      <c r="I53" s="32">
        <v>1442.3871379244001</v>
      </c>
      <c r="J53" s="32">
        <v>2130.4848044455671</v>
      </c>
      <c r="K53" s="32">
        <v>1053.875039</v>
      </c>
      <c r="L53" s="32">
        <v>1459.0109165000001</v>
      </c>
      <c r="M53" s="32">
        <v>2061.1262651000002</v>
      </c>
      <c r="N53" s="33">
        <v>19704.253841157111</v>
      </c>
    </row>
    <row r="54" spans="1:14">
      <c r="A54" s="37" t="s">
        <v>201</v>
      </c>
      <c r="B54" s="32">
        <v>2288.4191319281085</v>
      </c>
      <c r="C54" s="32">
        <v>1770.472859400174</v>
      </c>
      <c r="D54" s="32">
        <v>1770.7152182333036</v>
      </c>
      <c r="E54" s="32">
        <v>3191.2333356598238</v>
      </c>
      <c r="F54" s="32">
        <v>2269.8730316273113</v>
      </c>
      <c r="G54" s="32">
        <v>1392.653815630355</v>
      </c>
      <c r="H54" s="32">
        <v>2786.0343695399292</v>
      </c>
      <c r="I54" s="32">
        <v>2071.8881447993331</v>
      </c>
      <c r="J54" s="32">
        <v>3041.794156568681</v>
      </c>
      <c r="K54" s="32">
        <v>2976.1114047939245</v>
      </c>
      <c r="L54" s="32">
        <v>3784.2554105473382</v>
      </c>
      <c r="M54" s="32">
        <v>5471.3310131703438</v>
      </c>
      <c r="N54" s="33">
        <v>32814.78189189863</v>
      </c>
    </row>
    <row r="55" spans="1:14">
      <c r="A55" s="37" t="s">
        <v>202</v>
      </c>
      <c r="B55" s="32">
        <v>844.60629867400007</v>
      </c>
      <c r="C55" s="32">
        <v>680.32935089999989</v>
      </c>
      <c r="D55" s="32">
        <v>537.62193709999997</v>
      </c>
      <c r="E55" s="32">
        <v>406.94049250000006</v>
      </c>
      <c r="F55" s="32">
        <v>303.7964078</v>
      </c>
      <c r="G55" s="32">
        <v>405.42638069999998</v>
      </c>
      <c r="H55" s="32">
        <v>524.57537400000001</v>
      </c>
      <c r="I55" s="32">
        <v>635.58945960000005</v>
      </c>
      <c r="J55" s="32">
        <v>838.66889880000008</v>
      </c>
      <c r="K55" s="32">
        <v>738.91371020000008</v>
      </c>
      <c r="L55" s="32">
        <v>744.02557439999998</v>
      </c>
      <c r="M55" s="32">
        <v>1017.5288219</v>
      </c>
      <c r="N55" s="33">
        <v>7678.022706574</v>
      </c>
    </row>
    <row r="56" spans="1:14">
      <c r="A56" s="37" t="s">
        <v>203</v>
      </c>
      <c r="B56" s="32">
        <v>62.365735700000002</v>
      </c>
      <c r="C56" s="32">
        <v>347.47160120000001</v>
      </c>
      <c r="D56" s="32">
        <v>352.19205570000003</v>
      </c>
      <c r="E56" s="32">
        <v>618.59161559999995</v>
      </c>
      <c r="F56" s="32">
        <v>299.97308129999999</v>
      </c>
      <c r="G56" s="32">
        <v>360.67321450000003</v>
      </c>
      <c r="H56" s="32">
        <v>595.86901400000011</v>
      </c>
      <c r="I56" s="32">
        <v>717.38930750000009</v>
      </c>
      <c r="J56" s="32">
        <v>1775.9366044999997</v>
      </c>
      <c r="K56" s="32">
        <v>1478.84619</v>
      </c>
      <c r="L56" s="32">
        <v>866.01488240000003</v>
      </c>
      <c r="M56" s="32">
        <v>727.93527269999993</v>
      </c>
      <c r="N56" s="33">
        <v>8203.2585750999988</v>
      </c>
    </row>
    <row r="57" spans="1:14">
      <c r="A57" s="37" t="s">
        <v>204</v>
      </c>
      <c r="B57" s="32">
        <v>975.83005848740117</v>
      </c>
      <c r="C57" s="32">
        <v>681.40746086502554</v>
      </c>
      <c r="D57" s="32">
        <v>826.37618810959998</v>
      </c>
      <c r="E57" s="32">
        <v>1313.1363583684201</v>
      </c>
      <c r="F57" s="32">
        <v>945.27455147540536</v>
      </c>
      <c r="G57" s="32">
        <v>1888.0131172297019</v>
      </c>
      <c r="H57" s="32">
        <v>792.89357942084951</v>
      </c>
      <c r="I57" s="32">
        <v>591.43079914600003</v>
      </c>
      <c r="J57" s="32">
        <v>944.92476746126067</v>
      </c>
      <c r="K57" s="32">
        <v>1122.3829191537041</v>
      </c>
      <c r="L57" s="32">
        <v>568.2339096431499</v>
      </c>
      <c r="M57" s="32">
        <v>669.57355550250008</v>
      </c>
      <c r="N57" s="33">
        <v>11319.477264863019</v>
      </c>
    </row>
    <row r="58" spans="1:14" ht="15.75">
      <c r="A58" s="42" t="s">
        <v>205</v>
      </c>
      <c r="B58" s="34">
        <v>10898.146533539897</v>
      </c>
      <c r="C58" s="34">
        <v>9246.0138926762338</v>
      </c>
      <c r="D58" s="34">
        <v>10606.049914618579</v>
      </c>
      <c r="E58" s="34">
        <v>13399.489032052843</v>
      </c>
      <c r="F58" s="34">
        <v>13672.355682360352</v>
      </c>
      <c r="G58" s="34">
        <v>13925.297712136608</v>
      </c>
      <c r="H58" s="34">
        <v>19417.31706469454</v>
      </c>
      <c r="I58" s="34">
        <v>16096.063167924145</v>
      </c>
      <c r="J58" s="34">
        <v>18609.386229378066</v>
      </c>
      <c r="K58" s="34">
        <v>15135.773494910503</v>
      </c>
      <c r="L58" s="34">
        <v>14876.271664766766</v>
      </c>
      <c r="M58" s="34">
        <v>20952.612087182319</v>
      </c>
      <c r="N58" s="34">
        <v>176834.77647624083</v>
      </c>
    </row>
    <row r="59" spans="1:14" ht="15.75">
      <c r="A59" s="39" t="s">
        <v>206</v>
      </c>
      <c r="B59" s="34">
        <v>74207.645156289771</v>
      </c>
      <c r="C59" s="34">
        <v>70046.397374263441</v>
      </c>
      <c r="D59" s="34">
        <v>71679.348913787879</v>
      </c>
      <c r="E59" s="34">
        <v>72860.439470110607</v>
      </c>
      <c r="F59" s="34">
        <v>80983.015512993996</v>
      </c>
      <c r="G59" s="34">
        <v>83035.173906576631</v>
      </c>
      <c r="H59" s="34">
        <v>91471.513995553876</v>
      </c>
      <c r="I59" s="34">
        <v>95105.451863192153</v>
      </c>
      <c r="J59" s="34">
        <v>100380.52800837092</v>
      </c>
      <c r="K59" s="34">
        <v>101828.28887769801</v>
      </c>
      <c r="L59" s="34">
        <v>102317.68803371425</v>
      </c>
      <c r="M59" s="34">
        <v>134181.47733497745</v>
      </c>
      <c r="N59" s="34">
        <v>1078096.968447529</v>
      </c>
    </row>
    <row r="60" spans="1:14" ht="15.75">
      <c r="A60" s="40" t="s">
        <v>229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3"/>
    </row>
    <row r="61" spans="1:14">
      <c r="A61" s="43" t="s">
        <v>194</v>
      </c>
      <c r="B61" s="32">
        <v>232.1362244</v>
      </c>
      <c r="C61" s="32">
        <v>247.8726825</v>
      </c>
      <c r="D61" s="32">
        <v>174.2045129</v>
      </c>
      <c r="E61" s="32">
        <v>164.31052339999999</v>
      </c>
      <c r="F61" s="32">
        <v>242.75606210000001</v>
      </c>
      <c r="G61" s="32">
        <v>263.90850289999997</v>
      </c>
      <c r="H61" s="32">
        <v>265.21134849999999</v>
      </c>
      <c r="I61" s="32">
        <v>326.87478720000001</v>
      </c>
      <c r="J61" s="32">
        <v>377.79334549999999</v>
      </c>
      <c r="K61" s="32">
        <v>349.24289379999999</v>
      </c>
      <c r="L61" s="32">
        <v>302.89777729999997</v>
      </c>
      <c r="M61" s="32">
        <v>266.37377809999998</v>
      </c>
      <c r="N61" s="33">
        <v>3213.5824386000004</v>
      </c>
    </row>
    <row r="62" spans="1:14">
      <c r="A62" s="44" t="s">
        <v>217</v>
      </c>
      <c r="B62" s="32">
        <v>4405.4636600250005</v>
      </c>
      <c r="C62" s="32">
        <v>6512.2124041550569</v>
      </c>
      <c r="D62" s="32">
        <v>5894.791507827048</v>
      </c>
      <c r="E62" s="32">
        <v>5486.9030957477071</v>
      </c>
      <c r="F62" s="32">
        <v>4714.7809591060004</v>
      </c>
      <c r="G62" s="32">
        <v>4648.2508255323673</v>
      </c>
      <c r="H62" s="32">
        <v>6265.8855519873969</v>
      </c>
      <c r="I62" s="32">
        <v>6181.9330105634999</v>
      </c>
      <c r="J62" s="32">
        <v>7997.3763941067664</v>
      </c>
      <c r="K62" s="32">
        <v>7040.819287014001</v>
      </c>
      <c r="L62" s="32">
        <v>8675.3499360199712</v>
      </c>
      <c r="M62" s="32">
        <v>13824.841046345849</v>
      </c>
      <c r="N62" s="33">
        <v>81648.607678430679</v>
      </c>
    </row>
    <row r="63" spans="1:14">
      <c r="A63" s="43" t="s">
        <v>218</v>
      </c>
      <c r="B63" s="32">
        <v>1936.3570467834807</v>
      </c>
      <c r="C63" s="32">
        <v>2184.3757235447501</v>
      </c>
      <c r="D63" s="32">
        <v>2867.2175609455999</v>
      </c>
      <c r="E63" s="32">
        <v>2410.0106215043625</v>
      </c>
      <c r="F63" s="32">
        <v>3074.6301026091796</v>
      </c>
      <c r="G63" s="32">
        <v>3259.2608494491869</v>
      </c>
      <c r="H63" s="32">
        <v>3027.843072690383</v>
      </c>
      <c r="I63" s="32">
        <v>3413.5411311686003</v>
      </c>
      <c r="J63" s="32">
        <v>3457.3273850072305</v>
      </c>
      <c r="K63" s="32">
        <v>2885.8880146904798</v>
      </c>
      <c r="L63" s="32">
        <v>2792.9086558151998</v>
      </c>
      <c r="M63" s="32">
        <v>5921.9597127919988</v>
      </c>
      <c r="N63" s="33">
        <v>37231.319877000453</v>
      </c>
    </row>
    <row r="64" spans="1:14">
      <c r="A64" s="43" t="s">
        <v>219</v>
      </c>
      <c r="B64" s="32">
        <v>1054.046287482</v>
      </c>
      <c r="C64" s="32">
        <v>1700.809281238</v>
      </c>
      <c r="D64" s="32">
        <v>2085.9260185996818</v>
      </c>
      <c r="E64" s="32">
        <v>1521.1799402474192</v>
      </c>
      <c r="F64" s="32">
        <v>1389.7582930160002</v>
      </c>
      <c r="G64" s="32">
        <v>1281.2574352668096</v>
      </c>
      <c r="H64" s="32">
        <v>2439.0396655186005</v>
      </c>
      <c r="I64" s="32">
        <v>2905.1334746368002</v>
      </c>
      <c r="J64" s="32">
        <v>2768.224577091416</v>
      </c>
      <c r="K64" s="32">
        <v>2525.3479926999998</v>
      </c>
      <c r="L64" s="32">
        <v>2627.921983832</v>
      </c>
      <c r="M64" s="32">
        <v>4813.0825066487769</v>
      </c>
      <c r="N64" s="33">
        <v>27111.727456277506</v>
      </c>
    </row>
    <row r="65" spans="1:14">
      <c r="A65" s="38" t="s">
        <v>198</v>
      </c>
      <c r="B65" s="32">
        <v>6.0118874</v>
      </c>
      <c r="C65" s="32">
        <v>5.899197</v>
      </c>
      <c r="D65" s="32">
        <v>8.8274250999999992</v>
      </c>
      <c r="E65" s="32">
        <v>5.6966828999999999</v>
      </c>
      <c r="F65" s="32">
        <v>3.2972660999999999</v>
      </c>
      <c r="G65" s="32">
        <v>5.3375459999999997</v>
      </c>
      <c r="H65" s="32">
        <v>5.4742503999999998</v>
      </c>
      <c r="I65" s="32">
        <v>8.0263913999999996</v>
      </c>
      <c r="J65" s="32">
        <v>7.4064674999999998</v>
      </c>
      <c r="K65" s="32">
        <v>6.8083255999999999</v>
      </c>
      <c r="L65" s="32">
        <v>6.6603481999999996</v>
      </c>
      <c r="M65" s="32">
        <v>7.4723943000000004</v>
      </c>
      <c r="N65" s="33">
        <v>76.918181900000008</v>
      </c>
    </row>
    <row r="66" spans="1:14">
      <c r="A66" s="37" t="s">
        <v>199</v>
      </c>
      <c r="B66" s="32">
        <v>7212.999099310061</v>
      </c>
      <c r="C66" s="32">
        <v>11833.966427543517</v>
      </c>
      <c r="D66" s="32">
        <v>12122.688467489328</v>
      </c>
      <c r="E66" s="32">
        <v>10066.060952620057</v>
      </c>
      <c r="F66" s="32">
        <v>11127.397368607577</v>
      </c>
      <c r="G66" s="32">
        <v>12496.824887223802</v>
      </c>
      <c r="H66" s="32">
        <v>15298.121776823842</v>
      </c>
      <c r="I66" s="32">
        <v>14150.786669754598</v>
      </c>
      <c r="J66" s="32">
        <v>14804.945308560058</v>
      </c>
      <c r="K66" s="32">
        <v>14187.666975430386</v>
      </c>
      <c r="L66" s="32">
        <v>14940.455816372309</v>
      </c>
      <c r="M66" s="32">
        <v>26499.334133651955</v>
      </c>
      <c r="N66" s="33">
        <v>164741.24788338749</v>
      </c>
    </row>
    <row r="67" spans="1:14">
      <c r="A67" s="37" t="s">
        <v>220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0.111848</v>
      </c>
      <c r="K67" s="32">
        <v>0.109641</v>
      </c>
      <c r="L67" s="32">
        <v>0</v>
      </c>
      <c r="M67" s="32">
        <v>0</v>
      </c>
      <c r="N67" s="33">
        <v>0.22148899999999999</v>
      </c>
    </row>
    <row r="68" spans="1:14">
      <c r="A68" s="37" t="s">
        <v>221</v>
      </c>
      <c r="B68" s="32">
        <v>3.33</v>
      </c>
      <c r="C68" s="32">
        <v>0.79</v>
      </c>
      <c r="D68" s="32">
        <v>6.01</v>
      </c>
      <c r="E68" s="32">
        <v>3.1100000000000003</v>
      </c>
      <c r="F68" s="32">
        <v>7.83</v>
      </c>
      <c r="G68" s="32">
        <v>5.5</v>
      </c>
      <c r="H68" s="32">
        <v>4.8500000000000005</v>
      </c>
      <c r="I68" s="32">
        <v>5.6899999999999995</v>
      </c>
      <c r="J68" s="32">
        <v>16.72</v>
      </c>
      <c r="K68" s="32">
        <v>6.04</v>
      </c>
      <c r="L68" s="32">
        <v>34.94</v>
      </c>
      <c r="M68" s="32">
        <v>19.643119980000002</v>
      </c>
      <c r="N68" s="33">
        <v>114.45311998</v>
      </c>
    </row>
    <row r="69" spans="1:14">
      <c r="A69" s="37" t="s">
        <v>201</v>
      </c>
      <c r="B69" s="32">
        <v>287.78608955799996</v>
      </c>
      <c r="C69" s="32">
        <v>774.17463216199997</v>
      </c>
      <c r="D69" s="32">
        <v>654.58600609999996</v>
      </c>
      <c r="E69" s="32">
        <v>1063.5743677</v>
      </c>
      <c r="F69" s="32">
        <v>574.95720140000003</v>
      </c>
      <c r="G69" s="32">
        <v>503.14039436967505</v>
      </c>
      <c r="H69" s="32">
        <v>450.89345987251664</v>
      </c>
      <c r="I69" s="32">
        <v>265.32013119999999</v>
      </c>
      <c r="J69" s="32">
        <v>480.72942020000005</v>
      </c>
      <c r="K69" s="32">
        <v>617.62004400000001</v>
      </c>
      <c r="L69" s="32">
        <v>400.7434773</v>
      </c>
      <c r="M69" s="32">
        <v>559.55449659999999</v>
      </c>
      <c r="N69" s="33">
        <v>6633.0797204621922</v>
      </c>
    </row>
    <row r="70" spans="1:14">
      <c r="A70" s="37" t="s">
        <v>202</v>
      </c>
      <c r="B70" s="32">
        <v>0.7120126</v>
      </c>
      <c r="C70" s="32">
        <v>0</v>
      </c>
      <c r="D70" s="32">
        <v>0</v>
      </c>
      <c r="E70" s="32">
        <v>0</v>
      </c>
      <c r="F70" s="32">
        <v>0</v>
      </c>
      <c r="G70" s="32">
        <v>8.6388581000000002</v>
      </c>
      <c r="H70" s="32">
        <v>18.512186200000002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3">
        <v>27.863056900000004</v>
      </c>
    </row>
    <row r="71" spans="1:14">
      <c r="A71" s="37" t="s">
        <v>222</v>
      </c>
      <c r="B71" s="32">
        <v>2.5674964</v>
      </c>
      <c r="C71" s="32">
        <v>0.40168055000000003</v>
      </c>
      <c r="D71" s="32">
        <v>0.7957958799999999</v>
      </c>
      <c r="E71" s="32">
        <v>0.63448767300000009</v>
      </c>
      <c r="F71" s="32">
        <v>148.598040768</v>
      </c>
      <c r="G71" s="32">
        <v>158.32308773699998</v>
      </c>
      <c r="H71" s="32">
        <v>190.77251081200001</v>
      </c>
      <c r="I71" s="32">
        <v>0</v>
      </c>
      <c r="J71" s="32">
        <v>0.41038355399999998</v>
      </c>
      <c r="K71" s="32">
        <v>0</v>
      </c>
      <c r="L71" s="32">
        <v>33.299999999999997</v>
      </c>
      <c r="M71" s="32">
        <v>17.512614849999999</v>
      </c>
      <c r="N71" s="33">
        <v>553.31609822399992</v>
      </c>
    </row>
    <row r="72" spans="1:14">
      <c r="A72" s="37" t="s">
        <v>223</v>
      </c>
      <c r="B72" s="32">
        <v>1006.2859617869999</v>
      </c>
      <c r="C72" s="32">
        <v>1112.8164521980998</v>
      </c>
      <c r="D72" s="32">
        <v>971.15314879386574</v>
      </c>
      <c r="E72" s="32">
        <v>1088.2538267632899</v>
      </c>
      <c r="F72" s="32">
        <v>405.77332243820285</v>
      </c>
      <c r="G72" s="32">
        <v>567.88159793166938</v>
      </c>
      <c r="H72" s="32">
        <v>832.52430698894898</v>
      </c>
      <c r="I72" s="32">
        <v>588.7074272509999</v>
      </c>
      <c r="J72" s="32">
        <v>743.13619608390002</v>
      </c>
      <c r="K72" s="32">
        <v>1062.0379159210001</v>
      </c>
      <c r="L72" s="32">
        <v>851.2908468201224</v>
      </c>
      <c r="M72" s="32">
        <v>1218.8039141556874</v>
      </c>
      <c r="N72" s="33">
        <v>10448.664917132786</v>
      </c>
    </row>
    <row r="73" spans="1:14" ht="15.75">
      <c r="A73" s="41" t="s">
        <v>224</v>
      </c>
      <c r="B73" s="34">
        <v>16147.695765745542</v>
      </c>
      <c r="C73" s="34">
        <v>24373.31848089143</v>
      </c>
      <c r="D73" s="34">
        <v>24786.200443635524</v>
      </c>
      <c r="E73" s="34">
        <v>21809.734498555837</v>
      </c>
      <c r="F73" s="34">
        <v>21689.778616144962</v>
      </c>
      <c r="G73" s="34">
        <v>23198.323984510509</v>
      </c>
      <c r="H73" s="34">
        <v>28799.128129793688</v>
      </c>
      <c r="I73" s="34">
        <v>27846.013023174499</v>
      </c>
      <c r="J73" s="34">
        <v>30654.181325603375</v>
      </c>
      <c r="K73" s="34">
        <v>28681.581090155865</v>
      </c>
      <c r="L73" s="34">
        <v>30666.4688416596</v>
      </c>
      <c r="M73" s="34">
        <v>53148.577717424268</v>
      </c>
      <c r="N73" s="34">
        <v>331801.0019172951</v>
      </c>
    </row>
    <row r="74" spans="1:14" ht="15.75">
      <c r="A74" s="39" t="s">
        <v>225</v>
      </c>
      <c r="B74" s="34">
        <v>58059.949390544229</v>
      </c>
      <c r="C74" s="34">
        <v>45673.07889337201</v>
      </c>
      <c r="D74" s="34">
        <v>46893.148470152359</v>
      </c>
      <c r="E74" s="34">
        <v>51050.704971554769</v>
      </c>
      <c r="F74" s="34">
        <v>59293.236896849034</v>
      </c>
      <c r="G74" s="34">
        <v>59836.849922066118</v>
      </c>
      <c r="H74" s="34">
        <v>62672.385865760189</v>
      </c>
      <c r="I74" s="34">
        <v>67259.438840017654</v>
      </c>
      <c r="J74" s="34">
        <v>69726.346682767544</v>
      </c>
      <c r="K74" s="34">
        <v>73146.707787542138</v>
      </c>
      <c r="L74" s="34">
        <v>71651.219192054647</v>
      </c>
      <c r="M74" s="34">
        <v>81032.899617553179</v>
      </c>
      <c r="N74" s="34">
        <v>746295.96653023385</v>
      </c>
    </row>
    <row r="78" spans="1:14">
      <c r="G78" t="s">
        <v>83</v>
      </c>
    </row>
    <row r="80" spans="1:14" ht="18.75">
      <c r="A80" s="187" t="s">
        <v>227</v>
      </c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</row>
    <row r="81" spans="1:14" ht="18.75">
      <c r="A81" s="29" t="s">
        <v>216</v>
      </c>
      <c r="B81" s="30" t="s">
        <v>180</v>
      </c>
      <c r="C81" s="30" t="s">
        <v>181</v>
      </c>
      <c r="D81" s="30" t="s">
        <v>182</v>
      </c>
      <c r="E81" s="30" t="s">
        <v>183</v>
      </c>
      <c r="F81" s="30" t="s">
        <v>184</v>
      </c>
      <c r="G81" s="30" t="s">
        <v>185</v>
      </c>
      <c r="H81" s="30" t="s">
        <v>186</v>
      </c>
      <c r="I81" s="30" t="s">
        <v>187</v>
      </c>
      <c r="J81" s="30" t="s">
        <v>188</v>
      </c>
      <c r="K81" s="30" t="s">
        <v>189</v>
      </c>
      <c r="L81" s="30" t="s">
        <v>190</v>
      </c>
      <c r="M81" s="30" t="s">
        <v>191</v>
      </c>
      <c r="N81" s="30" t="s">
        <v>192</v>
      </c>
    </row>
    <row r="82" spans="1:14" ht="15.75">
      <c r="A82" s="35" t="s">
        <v>226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 spans="1:14" ht="15.75">
      <c r="A83" s="36" t="s">
        <v>228</v>
      </c>
      <c r="B83" s="32">
        <v>128800.06584155018</v>
      </c>
      <c r="C83" s="32">
        <v>119633.62181054099</v>
      </c>
      <c r="D83" s="32">
        <v>121897.63969956485</v>
      </c>
      <c r="E83" s="32">
        <v>128755.46490262874</v>
      </c>
      <c r="F83" s="32">
        <v>104567.31614182114</v>
      </c>
      <c r="G83" s="32">
        <v>95157.741525290738</v>
      </c>
      <c r="H83" s="32">
        <v>99194.385511237808</v>
      </c>
      <c r="I83" s="32">
        <v>100258.75918442282</v>
      </c>
      <c r="J83" s="32">
        <v>94253.237400611397</v>
      </c>
      <c r="K83" s="32">
        <v>92441.854830099124</v>
      </c>
      <c r="L83" s="32">
        <v>85798.258921224522</v>
      </c>
      <c r="M83" s="32">
        <v>89613.478577777831</v>
      </c>
      <c r="N83" s="33">
        <v>1260371.8243467701</v>
      </c>
    </row>
    <row r="84" spans="1:14" ht="15.75">
      <c r="A84" s="36" t="s">
        <v>193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3"/>
    </row>
    <row r="85" spans="1:14">
      <c r="A85" s="37" t="s">
        <v>194</v>
      </c>
      <c r="B85" s="32">
        <v>11742.672247232804</v>
      </c>
      <c r="C85" s="32">
        <v>9255.4509678078812</v>
      </c>
      <c r="D85" s="32">
        <v>7620.4483035542544</v>
      </c>
      <c r="E85" s="32">
        <v>8397.3696571986948</v>
      </c>
      <c r="F85" s="32">
        <v>8569.8646196002192</v>
      </c>
      <c r="G85" s="32">
        <v>7569.740256420605</v>
      </c>
      <c r="H85" s="32">
        <v>6864.8739168871834</v>
      </c>
      <c r="I85" s="32">
        <v>9211.2181791365438</v>
      </c>
      <c r="J85" s="32">
        <v>9489.0788646328892</v>
      </c>
      <c r="K85" s="32">
        <v>8825.4002814885007</v>
      </c>
      <c r="L85" s="32">
        <v>10878.430968464912</v>
      </c>
      <c r="M85" s="32">
        <v>8766.619778192131</v>
      </c>
      <c r="N85" s="33">
        <v>107191.16804061661</v>
      </c>
    </row>
    <row r="86" spans="1:14">
      <c r="A86" s="38" t="s">
        <v>195</v>
      </c>
      <c r="B86" s="32">
        <v>0</v>
      </c>
      <c r="C86" s="32">
        <v>314.45059559999999</v>
      </c>
      <c r="D86" s="32">
        <v>1620.7635287737048</v>
      </c>
      <c r="E86" s="32">
        <v>619.84080128862968</v>
      </c>
      <c r="F86" s="32">
        <v>0.13690740000000001</v>
      </c>
      <c r="G86" s="32">
        <v>1395.2888663219835</v>
      </c>
      <c r="H86" s="32">
        <v>2433.8629538500318</v>
      </c>
      <c r="I86" s="32">
        <v>1620.1603982408667</v>
      </c>
      <c r="J86" s="32">
        <v>841.67997008510122</v>
      </c>
      <c r="K86" s="32">
        <v>0.27136270000000001</v>
      </c>
      <c r="L86" s="32">
        <v>0</v>
      </c>
      <c r="M86" s="32">
        <v>0</v>
      </c>
      <c r="N86" s="33">
        <v>8846.4553842603164</v>
      </c>
    </row>
    <row r="87" spans="1:14">
      <c r="A87" s="37" t="s">
        <v>196</v>
      </c>
      <c r="B87" s="32">
        <v>241.16155640693927</v>
      </c>
      <c r="C87" s="32">
        <v>260.22226879999999</v>
      </c>
      <c r="D87" s="32">
        <v>13.8681977</v>
      </c>
      <c r="E87" s="32">
        <v>924.0060652443741</v>
      </c>
      <c r="F87" s="32">
        <v>475.247839133323</v>
      </c>
      <c r="G87" s="32">
        <v>355.42525569124098</v>
      </c>
      <c r="H87" s="32">
        <v>636.94037275343999</v>
      </c>
      <c r="I87" s="32">
        <v>173.61043654513992</v>
      </c>
      <c r="J87" s="32">
        <v>388.0545023858906</v>
      </c>
      <c r="K87" s="32">
        <v>184.14577871546899</v>
      </c>
      <c r="L87" s="32">
        <v>687.09829004569292</v>
      </c>
      <c r="M87" s="32">
        <v>441.55077978299198</v>
      </c>
      <c r="N87" s="33">
        <v>4781.3313432045015</v>
      </c>
    </row>
    <row r="88" spans="1:14">
      <c r="A88" s="37" t="s">
        <v>197</v>
      </c>
      <c r="B88" s="32">
        <v>0</v>
      </c>
      <c r="C88" s="32">
        <v>1.3424999999999999E-3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3">
        <v>1.3424999999999999E-3</v>
      </c>
    </row>
    <row r="89" spans="1:14">
      <c r="A89" s="38" t="s">
        <v>198</v>
      </c>
      <c r="B89" s="32">
        <v>0</v>
      </c>
      <c r="C89" s="32">
        <v>0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3">
        <v>0</v>
      </c>
    </row>
    <row r="90" spans="1:14">
      <c r="A90" s="37" t="s">
        <v>199</v>
      </c>
      <c r="B90" s="32">
        <v>22.398762599999998</v>
      </c>
      <c r="C90" s="32">
        <v>102.7777177</v>
      </c>
      <c r="D90" s="32">
        <v>1530.4304413040443</v>
      </c>
      <c r="E90" s="32">
        <v>1432.4401845096302</v>
      </c>
      <c r="F90" s="32">
        <v>86.037710100000012</v>
      </c>
      <c r="G90" s="32">
        <v>14.5286481</v>
      </c>
      <c r="H90" s="32">
        <v>91.96575009999998</v>
      </c>
      <c r="I90" s="32">
        <v>66.538544399999992</v>
      </c>
      <c r="J90" s="32">
        <v>118.0504272</v>
      </c>
      <c r="K90" s="32">
        <v>45.498867499999996</v>
      </c>
      <c r="L90" s="32">
        <v>43.608898799999999</v>
      </c>
      <c r="M90" s="32">
        <v>29.765529899999997</v>
      </c>
      <c r="N90" s="33">
        <v>3584.041482213674</v>
      </c>
    </row>
    <row r="91" spans="1:14">
      <c r="A91" s="37" t="s">
        <v>200</v>
      </c>
      <c r="B91" s="32">
        <v>1591.0748130468769</v>
      </c>
      <c r="C91" s="32">
        <v>1680.7704203280437</v>
      </c>
      <c r="D91" s="32">
        <v>1579.928014141002</v>
      </c>
      <c r="E91" s="32">
        <v>2086.7114794514951</v>
      </c>
      <c r="F91" s="32">
        <v>1616.9315867464402</v>
      </c>
      <c r="G91" s="32">
        <v>1282.3926035000004</v>
      </c>
      <c r="H91" s="32">
        <v>1887.5093722866475</v>
      </c>
      <c r="I91" s="32">
        <v>1420.5142739686253</v>
      </c>
      <c r="J91" s="32">
        <v>1204.4994348594319</v>
      </c>
      <c r="K91" s="32">
        <v>1183.352966893111</v>
      </c>
      <c r="L91" s="32">
        <v>1514.6666808505731</v>
      </c>
      <c r="M91" s="32">
        <v>1401.0158958692932</v>
      </c>
      <c r="N91" s="33">
        <v>18449.367541941538</v>
      </c>
    </row>
    <row r="92" spans="1:14">
      <c r="A92" s="37" t="s">
        <v>201</v>
      </c>
      <c r="B92" s="32">
        <v>5016.0752875560938</v>
      </c>
      <c r="C92" s="32">
        <v>2519.2737246841152</v>
      </c>
      <c r="D92" s="32">
        <v>3067.6492610299551</v>
      </c>
      <c r="E92" s="32">
        <v>3545.6687557347582</v>
      </c>
      <c r="F92" s="32">
        <v>2952.61007367928</v>
      </c>
      <c r="G92" s="32">
        <v>2178.969339989651</v>
      </c>
      <c r="H92" s="32">
        <v>2472.8858547682498</v>
      </c>
      <c r="I92" s="32">
        <v>2037.898288967225</v>
      </c>
      <c r="J92" s="32">
        <v>2952.3115680838127</v>
      </c>
      <c r="K92" s="32">
        <v>2764.7976744316852</v>
      </c>
      <c r="L92" s="32">
        <v>1893.7300631388428</v>
      </c>
      <c r="M92" s="32">
        <v>2072.3759762216409</v>
      </c>
      <c r="N92" s="33">
        <v>33474.24586828531</v>
      </c>
    </row>
    <row r="93" spans="1:14">
      <c r="A93" s="37" t="s">
        <v>202</v>
      </c>
      <c r="B93" s="32">
        <v>1047.5565343999999</v>
      </c>
      <c r="C93" s="32">
        <v>1020.9421413</v>
      </c>
      <c r="D93" s="32">
        <v>804.34877879999999</v>
      </c>
      <c r="E93" s="32">
        <v>451.78709219999996</v>
      </c>
      <c r="F93" s="32">
        <v>236.9131816</v>
      </c>
      <c r="G93" s="32">
        <v>394.69967650000001</v>
      </c>
      <c r="H93" s="32">
        <v>773.57192000000009</v>
      </c>
      <c r="I93" s="32">
        <v>1105.4384407845632</v>
      </c>
      <c r="J93" s="32">
        <v>1021.8654855</v>
      </c>
      <c r="K93" s="32">
        <v>914.54584929999999</v>
      </c>
      <c r="L93" s="32">
        <v>986.62271829999997</v>
      </c>
      <c r="M93" s="32">
        <v>1186.7844415000002</v>
      </c>
      <c r="N93" s="33">
        <v>9945.0762601845636</v>
      </c>
    </row>
    <row r="94" spans="1:14">
      <c r="A94" s="37" t="s">
        <v>203</v>
      </c>
      <c r="B94" s="32">
        <v>1704.7948859000001</v>
      </c>
      <c r="C94" s="32">
        <v>1675.7071335999999</v>
      </c>
      <c r="D94" s="32">
        <v>1461.5899387999998</v>
      </c>
      <c r="E94" s="32">
        <v>1787.0968663999997</v>
      </c>
      <c r="F94" s="32">
        <v>1351.0164373000002</v>
      </c>
      <c r="G94" s="32">
        <v>1020.8874268999998</v>
      </c>
      <c r="H94" s="32">
        <v>1587.7222273</v>
      </c>
      <c r="I94" s="32">
        <v>1709.9420129</v>
      </c>
      <c r="J94" s="32">
        <v>971.62531609999996</v>
      </c>
      <c r="K94" s="32">
        <v>1356.0311656000001</v>
      </c>
      <c r="L94" s="32">
        <v>1351.3822379000001</v>
      </c>
      <c r="M94" s="32">
        <v>2179.5632885</v>
      </c>
      <c r="N94" s="33">
        <v>18157.358937199999</v>
      </c>
    </row>
    <row r="95" spans="1:14">
      <c r="A95" s="37" t="s">
        <v>204</v>
      </c>
      <c r="B95" s="32">
        <v>1091.9774634221205</v>
      </c>
      <c r="C95" s="32">
        <v>1318.3055674054667</v>
      </c>
      <c r="D95" s="32">
        <v>765.33193275616975</v>
      </c>
      <c r="E95" s="32">
        <v>618.96919158416756</v>
      </c>
      <c r="F95" s="32">
        <v>1120.1187033895139</v>
      </c>
      <c r="G95" s="32">
        <v>646.20744328448666</v>
      </c>
      <c r="H95" s="32">
        <v>604.47946250035614</v>
      </c>
      <c r="I95" s="32">
        <v>673.1964419751198</v>
      </c>
      <c r="J95" s="32">
        <v>855.07457396648101</v>
      </c>
      <c r="K95" s="32">
        <v>1177.0664569112087</v>
      </c>
      <c r="L95" s="32">
        <v>589.70741381903485</v>
      </c>
      <c r="M95" s="32">
        <v>1964.5072478634606</v>
      </c>
      <c r="N95" s="33">
        <v>11424.941898877585</v>
      </c>
    </row>
    <row r="96" spans="1:14" ht="15.75">
      <c r="A96" s="42" t="s">
        <v>205</v>
      </c>
      <c r="B96" s="34">
        <v>22457.711550564833</v>
      </c>
      <c r="C96" s="34">
        <v>18147.901879725508</v>
      </c>
      <c r="D96" s="34">
        <v>18464.35839685913</v>
      </c>
      <c r="E96" s="34">
        <v>19863.89009361175</v>
      </c>
      <c r="F96" s="34">
        <v>16408.877058948776</v>
      </c>
      <c r="G96" s="34">
        <v>14858.13951670797</v>
      </c>
      <c r="H96" s="34">
        <v>17353.811830445909</v>
      </c>
      <c r="I96" s="34">
        <v>18018.517016918082</v>
      </c>
      <c r="J96" s="34">
        <v>17842.240142813607</v>
      </c>
      <c r="K96" s="34">
        <v>16451.110403539977</v>
      </c>
      <c r="L96" s="34">
        <v>17945.247271319055</v>
      </c>
      <c r="M96" s="34">
        <v>18042.182937829519</v>
      </c>
      <c r="N96" s="34">
        <v>215853.98809928409</v>
      </c>
    </row>
    <row r="97" spans="1:14" ht="15.75">
      <c r="A97" s="39" t="s">
        <v>206</v>
      </c>
      <c r="B97" s="34">
        <v>151257.77739211501</v>
      </c>
      <c r="C97" s="34">
        <v>137781.52369026651</v>
      </c>
      <c r="D97" s="34">
        <v>140361.99809642398</v>
      </c>
      <c r="E97" s="34">
        <v>148619.35499624049</v>
      </c>
      <c r="F97" s="34">
        <v>120976.19320076992</v>
      </c>
      <c r="G97" s="34">
        <v>110015.88104199871</v>
      </c>
      <c r="H97" s="34">
        <v>116548.19734168371</v>
      </c>
      <c r="I97" s="34">
        <v>118277.27620134089</v>
      </c>
      <c r="J97" s="34">
        <v>112095.477543425</v>
      </c>
      <c r="K97" s="34">
        <v>108892.9652336391</v>
      </c>
      <c r="L97" s="34">
        <v>103743.50619254357</v>
      </c>
      <c r="M97" s="34">
        <v>107655.66151560735</v>
      </c>
      <c r="N97" s="34">
        <v>1476225.8124460541</v>
      </c>
    </row>
    <row r="98" spans="1:14" ht="15.75">
      <c r="A98" s="40" t="s">
        <v>229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3"/>
    </row>
    <row r="99" spans="1:14">
      <c r="A99" s="43" t="s">
        <v>194</v>
      </c>
      <c r="B99" s="32">
        <v>396.92389750000001</v>
      </c>
      <c r="C99" s="32">
        <v>418.9701402</v>
      </c>
      <c r="D99" s="32">
        <v>413.1371891</v>
      </c>
      <c r="E99" s="32">
        <v>312.20178030000005</v>
      </c>
      <c r="F99" s="32">
        <v>287.65890380000002</v>
      </c>
      <c r="G99" s="32">
        <v>270.1505282</v>
      </c>
      <c r="H99" s="32">
        <v>278.24232439999997</v>
      </c>
      <c r="I99" s="32">
        <v>254.63031950000001</v>
      </c>
      <c r="J99" s="32">
        <v>276.8341805</v>
      </c>
      <c r="K99" s="32">
        <v>315.53336539999998</v>
      </c>
      <c r="L99" s="32">
        <v>267.80112389999999</v>
      </c>
      <c r="M99" s="32">
        <v>399.07843170000001</v>
      </c>
      <c r="N99" s="33">
        <v>3891.1621845</v>
      </c>
    </row>
    <row r="100" spans="1:14">
      <c r="A100" s="44" t="s">
        <v>217</v>
      </c>
      <c r="B100" s="32">
        <v>12030.341100920748</v>
      </c>
      <c r="C100" s="32">
        <v>11527.74588958881</v>
      </c>
      <c r="D100" s="32">
        <v>12351.79043904</v>
      </c>
      <c r="E100" s="32">
        <v>9095.5541972459996</v>
      </c>
      <c r="F100" s="32">
        <v>7325.3684196780005</v>
      </c>
      <c r="G100" s="32">
        <v>4580.6618445410004</v>
      </c>
      <c r="H100" s="32">
        <v>3312.6717108289999</v>
      </c>
      <c r="I100" s="32">
        <v>5736.1601451380002</v>
      </c>
      <c r="J100" s="32">
        <v>8138.8675803690003</v>
      </c>
      <c r="K100" s="32">
        <v>8424.6507415779997</v>
      </c>
      <c r="L100" s="32">
        <v>9774.353902513998</v>
      </c>
      <c r="M100" s="32">
        <v>10501.446971342</v>
      </c>
      <c r="N100" s="33">
        <v>102799.61294278456</v>
      </c>
    </row>
    <row r="101" spans="1:14">
      <c r="A101" s="43" t="s">
        <v>218</v>
      </c>
      <c r="B101" s="32">
        <v>4217.7985587535659</v>
      </c>
      <c r="C101" s="32">
        <v>3643.5417030712651</v>
      </c>
      <c r="D101" s="32">
        <v>5154.5868891073796</v>
      </c>
      <c r="E101" s="32">
        <v>2168.2852138066</v>
      </c>
      <c r="F101" s="32">
        <v>2274.9054244165541</v>
      </c>
      <c r="G101" s="32">
        <v>2331.0189269622851</v>
      </c>
      <c r="H101" s="32">
        <v>2009.0469272956318</v>
      </c>
      <c r="I101" s="32">
        <v>2335.9553956185</v>
      </c>
      <c r="J101" s="32">
        <v>2245.7181178271949</v>
      </c>
      <c r="K101" s="32">
        <v>1812.0029767942419</v>
      </c>
      <c r="L101" s="32">
        <v>2342.9942445083288</v>
      </c>
      <c r="M101" s="32">
        <v>2820.7207010590964</v>
      </c>
      <c r="N101" s="33">
        <v>33356.575079220645</v>
      </c>
    </row>
    <row r="102" spans="1:14">
      <c r="A102" s="43" t="s">
        <v>219</v>
      </c>
      <c r="B102" s="32">
        <v>2889.1223348459998</v>
      </c>
      <c r="C102" s="32">
        <v>4073.1043929699999</v>
      </c>
      <c r="D102" s="32">
        <v>6051.4932892099996</v>
      </c>
      <c r="E102" s="32">
        <v>5085.6447398589989</v>
      </c>
      <c r="F102" s="32">
        <v>6365.5961996039996</v>
      </c>
      <c r="G102" s="32">
        <v>5317.8386674520007</v>
      </c>
      <c r="H102" s="32">
        <v>5347.4238062479999</v>
      </c>
      <c r="I102" s="32">
        <v>4880.0982012269997</v>
      </c>
      <c r="J102" s="32">
        <v>4543.6760944530006</v>
      </c>
      <c r="K102" s="32">
        <v>4429.2606184879996</v>
      </c>
      <c r="L102" s="32">
        <v>4604.4053523439998</v>
      </c>
      <c r="M102" s="32">
        <v>5010.4127537039985</v>
      </c>
      <c r="N102" s="33">
        <v>58598.076450404995</v>
      </c>
    </row>
    <row r="103" spans="1:14">
      <c r="A103" s="38" t="s">
        <v>198</v>
      </c>
      <c r="B103" s="32">
        <v>17.4011253</v>
      </c>
      <c r="C103" s="32">
        <v>6.3677977000000006</v>
      </c>
      <c r="D103" s="32">
        <v>12.2930587</v>
      </c>
      <c r="E103" s="32">
        <v>10.858749400000001</v>
      </c>
      <c r="F103" s="32">
        <v>4.5881730000000003</v>
      </c>
      <c r="G103" s="32">
        <v>7.4526338000000001</v>
      </c>
      <c r="H103" s="32">
        <v>6.4208078000000004</v>
      </c>
      <c r="I103" s="32">
        <v>8.0317759999999989</v>
      </c>
      <c r="J103" s="32">
        <v>8.2406515999999996</v>
      </c>
      <c r="K103" s="32">
        <v>7.3006848</v>
      </c>
      <c r="L103" s="32">
        <v>4.5058236999999997</v>
      </c>
      <c r="M103" s="32">
        <v>7.0197048999999998</v>
      </c>
      <c r="N103" s="33">
        <v>100.48098669999997</v>
      </c>
    </row>
    <row r="104" spans="1:14">
      <c r="A104" s="37" t="s">
        <v>199</v>
      </c>
      <c r="B104" s="32">
        <v>22851.559414085554</v>
      </c>
      <c r="C104" s="32">
        <v>27541.927201186285</v>
      </c>
      <c r="D104" s="32">
        <v>24876.919773491922</v>
      </c>
      <c r="E104" s="32">
        <v>19133.375825632</v>
      </c>
      <c r="F104" s="32">
        <v>19619.724952914763</v>
      </c>
      <c r="G104" s="32">
        <v>21040.053990274082</v>
      </c>
      <c r="H104" s="32">
        <v>17901.670569250917</v>
      </c>
      <c r="I104" s="32">
        <v>15873.609370051907</v>
      </c>
      <c r="J104" s="32">
        <v>17381.5453611302</v>
      </c>
      <c r="K104" s="32">
        <v>14375.31935498689</v>
      </c>
      <c r="L104" s="32">
        <v>14676.246378680597</v>
      </c>
      <c r="M104" s="32">
        <v>15541.504003071561</v>
      </c>
      <c r="N104" s="33">
        <v>230813.45619475667</v>
      </c>
    </row>
    <row r="105" spans="1:14">
      <c r="A105" s="37" t="s">
        <v>220</v>
      </c>
      <c r="B105" s="32">
        <v>0.78996</v>
      </c>
      <c r="C105" s="32">
        <v>1.03938</v>
      </c>
      <c r="D105" s="32">
        <v>0.86812</v>
      </c>
      <c r="E105" s="32">
        <v>1.183684</v>
      </c>
      <c r="F105" s="32">
        <v>0.74283200000000005</v>
      </c>
      <c r="G105" s="32">
        <v>1.004124</v>
      </c>
      <c r="H105" s="32">
        <v>1.2649239999999999</v>
      </c>
      <c r="I105" s="32">
        <v>1.2001759999999999</v>
      </c>
      <c r="J105" s="32">
        <v>1.5157560000000001</v>
      </c>
      <c r="K105" s="32">
        <v>0.83520000000000005</v>
      </c>
      <c r="L105" s="32">
        <v>1.1472800000000001</v>
      </c>
      <c r="M105" s="32">
        <v>1.2322200000000001</v>
      </c>
      <c r="N105" s="33">
        <v>12.823656</v>
      </c>
    </row>
    <row r="106" spans="1:14">
      <c r="A106" s="37" t="s">
        <v>221</v>
      </c>
      <c r="B106" s="32">
        <v>34.470289548819999</v>
      </c>
      <c r="C106" s="32">
        <v>6.3493150374111513</v>
      </c>
      <c r="D106" s="32">
        <v>16.673983097920001</v>
      </c>
      <c r="E106" s="32">
        <v>13.010111349359999</v>
      </c>
      <c r="F106" s="32">
        <v>8.0334882155000003</v>
      </c>
      <c r="G106" s="32">
        <v>13.616912786459997</v>
      </c>
      <c r="H106" s="32">
        <v>7.8942672958799998</v>
      </c>
      <c r="I106" s="32">
        <v>11.47833282815</v>
      </c>
      <c r="J106" s="32">
        <v>10.09778787866</v>
      </c>
      <c r="K106" s="32">
        <v>10.365421692329997</v>
      </c>
      <c r="L106" s="32">
        <v>6.7416974229999997</v>
      </c>
      <c r="M106" s="32">
        <v>66.143375673159994</v>
      </c>
      <c r="N106" s="33">
        <v>204.87498282665115</v>
      </c>
    </row>
    <row r="107" spans="1:14">
      <c r="A107" s="37" t="s">
        <v>201</v>
      </c>
      <c r="B107" s="32">
        <v>261.25676810800002</v>
      </c>
      <c r="C107" s="32">
        <v>460.71080756100002</v>
      </c>
      <c r="D107" s="32">
        <v>612.44255720000001</v>
      </c>
      <c r="E107" s="32">
        <v>722.88597599999991</v>
      </c>
      <c r="F107" s="32">
        <v>1046.9749008000001</v>
      </c>
      <c r="G107" s="32">
        <v>546.31845080000005</v>
      </c>
      <c r="H107" s="32">
        <v>968.49736767660465</v>
      </c>
      <c r="I107" s="32">
        <v>720.73024550000002</v>
      </c>
      <c r="J107" s="32">
        <v>925.50902689999998</v>
      </c>
      <c r="K107" s="32">
        <v>685.22129152887328</v>
      </c>
      <c r="L107" s="32">
        <v>324.53805690000002</v>
      </c>
      <c r="M107" s="32">
        <v>559.10474279999994</v>
      </c>
      <c r="N107" s="33">
        <v>7834.1901917744772</v>
      </c>
    </row>
    <row r="108" spans="1:14">
      <c r="A108" s="37" t="s">
        <v>202</v>
      </c>
      <c r="B108" s="32">
        <v>0.1164737</v>
      </c>
      <c r="C108" s="32">
        <v>0.77783210000000003</v>
      </c>
      <c r="D108" s="32">
        <v>5.6692851999999991</v>
      </c>
      <c r="E108" s="32">
        <v>0.24597769999999999</v>
      </c>
      <c r="F108" s="32">
        <v>9.9914199999999995E-2</v>
      </c>
      <c r="G108" s="32">
        <v>10.2423485</v>
      </c>
      <c r="H108" s="32">
        <v>10.962852000000002</v>
      </c>
      <c r="I108" s="32">
        <v>0.48328930000000003</v>
      </c>
      <c r="J108" s="32">
        <v>0.44958350000000002</v>
      </c>
      <c r="K108" s="32">
        <v>0.20459869999999999</v>
      </c>
      <c r="L108" s="32">
        <v>1.3071378</v>
      </c>
      <c r="M108" s="32">
        <v>11.852975300000001</v>
      </c>
      <c r="N108" s="33">
        <v>42.412267999999997</v>
      </c>
    </row>
    <row r="109" spans="1:14">
      <c r="A109" s="37" t="s">
        <v>222</v>
      </c>
      <c r="B109" s="32">
        <v>15.541077893999999</v>
      </c>
      <c r="C109" s="32">
        <v>124.0929989971</v>
      </c>
      <c r="D109" s="32">
        <v>129.88166800600001</v>
      </c>
      <c r="E109" s="32">
        <v>35.265886637999998</v>
      </c>
      <c r="F109" s="32">
        <v>32.755973949000001</v>
      </c>
      <c r="G109" s="32">
        <v>13.80212856</v>
      </c>
      <c r="H109" s="32">
        <v>0</v>
      </c>
      <c r="I109" s="32">
        <v>0</v>
      </c>
      <c r="J109" s="32">
        <v>0</v>
      </c>
      <c r="K109" s="32">
        <v>0</v>
      </c>
      <c r="L109" s="32">
        <v>24.489539271999998</v>
      </c>
      <c r="M109" s="32">
        <v>272.241742402</v>
      </c>
      <c r="N109" s="33">
        <v>648.07101571810006</v>
      </c>
    </row>
    <row r="110" spans="1:14">
      <c r="A110" s="37" t="s">
        <v>223</v>
      </c>
      <c r="B110" s="32">
        <v>1788.2916870606</v>
      </c>
      <c r="C110" s="32">
        <v>2177.1992574399574</v>
      </c>
      <c r="D110" s="32">
        <v>1907.08537118616</v>
      </c>
      <c r="E110" s="32">
        <v>1515.66438281</v>
      </c>
      <c r="F110" s="32">
        <v>1722.7040566129997</v>
      </c>
      <c r="G110" s="32">
        <v>1225.1679954159999</v>
      </c>
      <c r="H110" s="32">
        <v>852.01870689840007</v>
      </c>
      <c r="I110" s="32">
        <v>1278.5135650319498</v>
      </c>
      <c r="J110" s="32">
        <v>3372.8310189159001</v>
      </c>
      <c r="K110" s="32">
        <v>1201.6122997030202</v>
      </c>
      <c r="L110" s="32">
        <v>1738.235365288094</v>
      </c>
      <c r="M110" s="32">
        <v>1647.6068469559214</v>
      </c>
      <c r="N110" s="33">
        <v>20426.930553319005</v>
      </c>
    </row>
    <row r="111" spans="1:14" ht="15.75">
      <c r="A111" s="41" t="s">
        <v>224</v>
      </c>
      <c r="B111" s="34">
        <v>44503.612687717294</v>
      </c>
      <c r="C111" s="34">
        <v>49981.826715851828</v>
      </c>
      <c r="D111" s="34">
        <v>51532.84162333938</v>
      </c>
      <c r="E111" s="34">
        <v>38094.176524740949</v>
      </c>
      <c r="F111" s="34">
        <v>38689.153239190826</v>
      </c>
      <c r="G111" s="34">
        <v>35357.328551291823</v>
      </c>
      <c r="H111" s="34">
        <v>30696.114263694435</v>
      </c>
      <c r="I111" s="34">
        <v>31100.890816195501</v>
      </c>
      <c r="J111" s="34">
        <v>36905.285159073959</v>
      </c>
      <c r="K111" s="34">
        <v>31262.306553671358</v>
      </c>
      <c r="L111" s="34">
        <v>33766.765902330015</v>
      </c>
      <c r="M111" s="34">
        <v>36838.364468907734</v>
      </c>
      <c r="N111" s="34">
        <v>458728.6665060051</v>
      </c>
    </row>
    <row r="112" spans="1:14" ht="15.75">
      <c r="A112" s="39" t="s">
        <v>225</v>
      </c>
      <c r="B112" s="34">
        <v>106754.16470439771</v>
      </c>
      <c r="C112" s="34">
        <v>87799.696974414677</v>
      </c>
      <c r="D112" s="34">
        <v>88829.1564730846</v>
      </c>
      <c r="E112" s="34">
        <v>110525.17847149954</v>
      </c>
      <c r="F112" s="34">
        <v>82287.039961579096</v>
      </c>
      <c r="G112" s="34">
        <v>74658.55249070689</v>
      </c>
      <c r="H112" s="34">
        <v>85852.083077989286</v>
      </c>
      <c r="I112" s="34">
        <v>87176.38538514539</v>
      </c>
      <c r="J112" s="34">
        <v>75190.192384351045</v>
      </c>
      <c r="K112" s="34">
        <v>77630.658679967746</v>
      </c>
      <c r="L112" s="34">
        <v>69976.740290213551</v>
      </c>
      <c r="M112" s="34">
        <v>70817.297046699619</v>
      </c>
      <c r="N112" s="34">
        <v>1017497.145940049</v>
      </c>
    </row>
    <row r="117" spans="1:14" ht="18.75">
      <c r="G117" s="116" t="s">
        <v>233</v>
      </c>
    </row>
    <row r="118" spans="1:14" ht="18.75">
      <c r="A118" s="116"/>
      <c r="B118" s="117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</row>
    <row r="119" spans="1:14">
      <c r="A119" s="188" t="s">
        <v>234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</row>
    <row r="120" spans="1:14" ht="18.75">
      <c r="A120" s="187" t="s">
        <v>227</v>
      </c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</row>
    <row r="121" spans="1:14" ht="18.75">
      <c r="A121" s="29" t="s">
        <v>216</v>
      </c>
      <c r="B121" s="30" t="s">
        <v>180</v>
      </c>
      <c r="C121" s="30" t="s">
        <v>181</v>
      </c>
      <c r="D121" s="30" t="s">
        <v>182</v>
      </c>
      <c r="E121" s="30" t="s">
        <v>183</v>
      </c>
      <c r="F121" s="30" t="s">
        <v>184</v>
      </c>
      <c r="G121" s="30" t="s">
        <v>185</v>
      </c>
      <c r="H121" s="30" t="s">
        <v>186</v>
      </c>
      <c r="I121" s="30" t="s">
        <v>187</v>
      </c>
      <c r="J121" s="30" t="s">
        <v>188</v>
      </c>
      <c r="K121" s="30" t="s">
        <v>189</v>
      </c>
      <c r="L121" s="30" t="s">
        <v>190</v>
      </c>
      <c r="M121" s="30" t="s">
        <v>191</v>
      </c>
      <c r="N121" s="30" t="s">
        <v>192</v>
      </c>
    </row>
    <row r="122" spans="1:14" ht="15.75">
      <c r="A122" s="35" t="s">
        <v>226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4" ht="15.75">
      <c r="A123" s="36" t="s">
        <v>228</v>
      </c>
      <c r="B123" s="32">
        <v>89035.978544082594</v>
      </c>
      <c r="C123" s="32">
        <v>87955.310700035101</v>
      </c>
      <c r="D123" s="32">
        <v>83881.451010452583</v>
      </c>
      <c r="E123" s="32">
        <v>85329.770402117996</v>
      </c>
      <c r="F123" s="32">
        <v>91863.736672447398</v>
      </c>
      <c r="G123" s="32">
        <v>90379.189582584731</v>
      </c>
      <c r="H123" s="32">
        <v>98715.177930114951</v>
      </c>
      <c r="I123" s="32">
        <v>95382.058589648965</v>
      </c>
      <c r="J123" s="32">
        <v>94748.458657805822</v>
      </c>
      <c r="K123" s="32">
        <v>101338.48782842909</v>
      </c>
      <c r="L123" s="32">
        <v>85514.447781549126</v>
      </c>
      <c r="M123" s="32">
        <v>101031.78839941784</v>
      </c>
      <c r="N123" s="33">
        <f>SUM(B123:M123)</f>
        <v>1105175.8560986861</v>
      </c>
    </row>
    <row r="124" spans="1:14" ht="15.75">
      <c r="A124" s="36" t="s">
        <v>193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3"/>
    </row>
    <row r="125" spans="1:14">
      <c r="A125" s="37" t="s">
        <v>194</v>
      </c>
      <c r="B125" s="32">
        <v>4707.2075123188997</v>
      </c>
      <c r="C125" s="32">
        <v>6518.3310160403998</v>
      </c>
      <c r="D125" s="32">
        <v>4782.4872993306999</v>
      </c>
      <c r="E125" s="32">
        <v>4423.3783434823999</v>
      </c>
      <c r="F125" s="32">
        <v>6100.2664349453999</v>
      </c>
      <c r="G125" s="32">
        <v>7470.3995633333006</v>
      </c>
      <c r="H125" s="32">
        <v>9523.9162192285003</v>
      </c>
      <c r="I125" s="32">
        <v>8848.5201078112004</v>
      </c>
      <c r="J125" s="32">
        <v>8042.7701512751</v>
      </c>
      <c r="K125" s="32">
        <v>8517.9515015955003</v>
      </c>
      <c r="L125" s="32">
        <v>9152.2196560423981</v>
      </c>
      <c r="M125" s="32">
        <v>8273.8807781043997</v>
      </c>
      <c r="N125" s="33">
        <f t="shared" ref="N125:N135" si="0">SUM(B125:M125)</f>
        <v>86361.328583508192</v>
      </c>
    </row>
    <row r="126" spans="1:14">
      <c r="A126" s="38" t="s">
        <v>195</v>
      </c>
      <c r="B126" s="32">
        <v>0.15835949999999999</v>
      </c>
      <c r="C126" s="32">
        <v>0.24027490000000001</v>
      </c>
      <c r="D126" s="32">
        <v>973.32166089999998</v>
      </c>
      <c r="E126" s="32">
        <v>0</v>
      </c>
      <c r="F126" s="32">
        <v>1227.5040878999998</v>
      </c>
      <c r="G126" s="32">
        <v>1258.2578541</v>
      </c>
      <c r="H126" s="32">
        <v>1516.1554406</v>
      </c>
      <c r="I126" s="32">
        <v>524.27633790000004</v>
      </c>
      <c r="J126" s="32">
        <v>0</v>
      </c>
      <c r="K126" s="32">
        <v>0</v>
      </c>
      <c r="L126" s="32">
        <v>5.3502099999999997E-2</v>
      </c>
      <c r="M126" s="32">
        <v>0.25175150000000002</v>
      </c>
      <c r="N126" s="33">
        <f t="shared" si="0"/>
        <v>5500.2192693999996</v>
      </c>
    </row>
    <row r="127" spans="1:14">
      <c r="A127" s="37" t="s">
        <v>196</v>
      </c>
      <c r="B127" s="32">
        <v>314.18101910000001</v>
      </c>
      <c r="C127" s="32">
        <v>144.09685676536421</v>
      </c>
      <c r="D127" s="32">
        <v>872.9507285839079</v>
      </c>
      <c r="E127" s="32">
        <v>308.254313482513</v>
      </c>
      <c r="F127" s="32">
        <v>589.84960350000006</v>
      </c>
      <c r="G127" s="32">
        <v>893.08025212780922</v>
      </c>
      <c r="H127" s="32">
        <v>1420.6216784738754</v>
      </c>
      <c r="I127" s="32">
        <v>632.23722976742056</v>
      </c>
      <c r="J127" s="32">
        <v>1119.6272750190922</v>
      </c>
      <c r="K127" s="32">
        <v>313.02945950000003</v>
      </c>
      <c r="L127" s="32">
        <v>9.7971567000000004</v>
      </c>
      <c r="M127" s="32">
        <v>9.5032003000000014</v>
      </c>
      <c r="N127" s="33">
        <f t="shared" si="0"/>
        <v>6627.2287733199828</v>
      </c>
    </row>
    <row r="128" spans="1:14">
      <c r="A128" s="37" t="s">
        <v>197</v>
      </c>
      <c r="B128" s="32">
        <v>0</v>
      </c>
      <c r="C128" s="32">
        <v>0</v>
      </c>
      <c r="D128" s="32">
        <v>0</v>
      </c>
      <c r="E128" s="32">
        <v>0</v>
      </c>
      <c r="F128" s="32">
        <v>2.5903200000000001E-2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3">
        <f t="shared" si="0"/>
        <v>2.5903200000000001E-2</v>
      </c>
    </row>
    <row r="129" spans="1:14">
      <c r="A129" s="38" t="s">
        <v>198</v>
      </c>
      <c r="B129" s="32">
        <v>0</v>
      </c>
      <c r="C129" s="32">
        <v>0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3">
        <f t="shared" si="0"/>
        <v>0</v>
      </c>
    </row>
    <row r="130" spans="1:14">
      <c r="A130" s="37" t="s">
        <v>199</v>
      </c>
      <c r="B130" s="32">
        <v>16.787954900000003</v>
      </c>
      <c r="C130" s="32">
        <v>12.9058855</v>
      </c>
      <c r="D130" s="32">
        <v>4.1291321999999999</v>
      </c>
      <c r="E130" s="32">
        <v>7.4027840999999999</v>
      </c>
      <c r="F130" s="32">
        <v>33.618474900000002</v>
      </c>
      <c r="G130" s="32">
        <v>38.196605099999999</v>
      </c>
      <c r="H130" s="32">
        <v>29.2677838</v>
      </c>
      <c r="I130" s="32">
        <v>11.7419125</v>
      </c>
      <c r="J130" s="32">
        <v>22.415136699999998</v>
      </c>
      <c r="K130" s="32">
        <v>15.416167900000001</v>
      </c>
      <c r="L130" s="32">
        <v>87.659050100000002</v>
      </c>
      <c r="M130" s="32">
        <v>32.316515499999994</v>
      </c>
      <c r="N130" s="33">
        <f t="shared" si="0"/>
        <v>311.85740319999996</v>
      </c>
    </row>
    <row r="131" spans="1:14">
      <c r="A131" s="37" t="s">
        <v>200</v>
      </c>
      <c r="B131" s="32">
        <v>1341.6092779000001</v>
      </c>
      <c r="C131" s="32">
        <v>1751.9527370213007</v>
      </c>
      <c r="D131" s="32">
        <v>1413.9879699999999</v>
      </c>
      <c r="E131" s="32">
        <v>2124.3172310512</v>
      </c>
      <c r="F131" s="32">
        <v>1188.7983773000001</v>
      </c>
      <c r="G131" s="32">
        <v>1505.1556775000004</v>
      </c>
      <c r="H131" s="32">
        <v>1501.3236476999998</v>
      </c>
      <c r="I131" s="32">
        <v>1873.2236008</v>
      </c>
      <c r="J131" s="32">
        <v>2035.7845761999997</v>
      </c>
      <c r="K131" s="32">
        <v>1489.5520724</v>
      </c>
      <c r="L131" s="32">
        <v>1627.4363119000002</v>
      </c>
      <c r="M131" s="32">
        <v>1276.0136002000006</v>
      </c>
      <c r="N131" s="33">
        <f t="shared" si="0"/>
        <v>19129.155079972501</v>
      </c>
    </row>
    <row r="132" spans="1:14">
      <c r="A132" s="37" t="s">
        <v>201</v>
      </c>
      <c r="B132" s="32">
        <v>2256.1195664417146</v>
      </c>
      <c r="C132" s="32">
        <v>2331.6938150992582</v>
      </c>
      <c r="D132" s="32">
        <v>2329.9877236004349</v>
      </c>
      <c r="E132" s="32">
        <v>2394.0693252317501</v>
      </c>
      <c r="F132" s="32">
        <v>2995.7638413934451</v>
      </c>
      <c r="G132" s="32">
        <v>3505.1173782491842</v>
      </c>
      <c r="H132" s="32">
        <v>3223.3286689946954</v>
      </c>
      <c r="I132" s="32">
        <v>3496.4560686862092</v>
      </c>
      <c r="J132" s="32">
        <v>2642.2472749776225</v>
      </c>
      <c r="K132" s="32">
        <v>2709.2959331425</v>
      </c>
      <c r="L132" s="32">
        <v>3142.8315190157496</v>
      </c>
      <c r="M132" s="32">
        <v>2641.9120576945079</v>
      </c>
      <c r="N132" s="33">
        <f t="shared" si="0"/>
        <v>33668.823172527074</v>
      </c>
    </row>
    <row r="133" spans="1:14">
      <c r="A133" s="37" t="s">
        <v>202</v>
      </c>
      <c r="B133" s="32">
        <v>1254.3909236</v>
      </c>
      <c r="C133" s="32">
        <v>1291.5385795218001</v>
      </c>
      <c r="D133" s="32">
        <v>833.6569490431001</v>
      </c>
      <c r="E133" s="32">
        <v>753.1120977999999</v>
      </c>
      <c r="F133" s="32">
        <v>939.23046009999996</v>
      </c>
      <c r="G133" s="32">
        <v>736.09487849999994</v>
      </c>
      <c r="H133" s="32">
        <v>949.37343670000007</v>
      </c>
      <c r="I133" s="32">
        <v>780.42391550000002</v>
      </c>
      <c r="J133" s="32">
        <v>780.74903652689989</v>
      </c>
      <c r="K133" s="32">
        <v>753.02781040000002</v>
      </c>
      <c r="L133" s="32">
        <v>769.0363145</v>
      </c>
      <c r="M133" s="32">
        <v>1033.8796426000001</v>
      </c>
      <c r="N133" s="33">
        <f t="shared" si="0"/>
        <v>10874.5140447918</v>
      </c>
    </row>
    <row r="134" spans="1:14">
      <c r="A134" s="37" t="s">
        <v>203</v>
      </c>
      <c r="B134" s="32">
        <v>1125.8523439999999</v>
      </c>
      <c r="C134" s="32">
        <v>1665.7361587</v>
      </c>
      <c r="D134" s="32">
        <v>970.4354922</v>
      </c>
      <c r="E134" s="32">
        <v>1122.6024600000001</v>
      </c>
      <c r="F134" s="32">
        <v>1378.9852816999999</v>
      </c>
      <c r="G134" s="32">
        <v>946.69997420000004</v>
      </c>
      <c r="H134" s="32">
        <v>1060.9814322</v>
      </c>
      <c r="I134" s="32">
        <v>779.4162328000001</v>
      </c>
      <c r="J134" s="32">
        <v>1248.543193</v>
      </c>
      <c r="K134" s="32">
        <v>865.62167209999996</v>
      </c>
      <c r="L134" s="32">
        <v>1599.4339852000001</v>
      </c>
      <c r="M134" s="32">
        <v>1545.2851410000001</v>
      </c>
      <c r="N134" s="33">
        <f t="shared" si="0"/>
        <v>14309.593367099998</v>
      </c>
    </row>
    <row r="135" spans="1:14">
      <c r="A135" s="37" t="s">
        <v>204</v>
      </c>
      <c r="B135" s="32">
        <v>1157.8977635000001</v>
      </c>
      <c r="C135" s="32">
        <v>1814.8623854106222</v>
      </c>
      <c r="D135" s="32">
        <v>1286.9496680200198</v>
      </c>
      <c r="E135" s="32">
        <v>1600.3859666239669</v>
      </c>
      <c r="F135" s="32">
        <v>1676.6869563554487</v>
      </c>
      <c r="G135" s="32">
        <v>704.50088579999999</v>
      </c>
      <c r="H135" s="32">
        <v>778.56544469999994</v>
      </c>
      <c r="I135" s="32">
        <v>918.09031090000008</v>
      </c>
      <c r="J135" s="32">
        <v>956.98786940000014</v>
      </c>
      <c r="K135" s="32">
        <v>929.92731567650014</v>
      </c>
      <c r="L135" s="32">
        <v>750.37194022100005</v>
      </c>
      <c r="M135" s="32">
        <v>710.59719516087068</v>
      </c>
      <c r="N135" s="33">
        <f t="shared" si="0"/>
        <v>13285.823701768428</v>
      </c>
    </row>
    <row r="136" spans="1:14" ht="15.75">
      <c r="A136" s="42" t="s">
        <v>205</v>
      </c>
      <c r="B136" s="34">
        <f t="shared" ref="B136:N136" si="1">SUM(B125:B135)</f>
        <v>12174.204721260616</v>
      </c>
      <c r="C136" s="34">
        <f t="shared" si="1"/>
        <v>15531.357708958745</v>
      </c>
      <c r="D136" s="34">
        <f t="shared" si="1"/>
        <v>13467.906623878162</v>
      </c>
      <c r="E136" s="34">
        <f t="shared" si="1"/>
        <v>12733.522521771829</v>
      </c>
      <c r="F136" s="34">
        <f t="shared" si="1"/>
        <v>16130.729421294292</v>
      </c>
      <c r="G136" s="34">
        <f t="shared" si="1"/>
        <v>17057.503068910293</v>
      </c>
      <c r="H136" s="34">
        <f t="shared" si="1"/>
        <v>20003.53375239707</v>
      </c>
      <c r="I136" s="34">
        <f t="shared" si="1"/>
        <v>17864.38571666483</v>
      </c>
      <c r="J136" s="34">
        <f t="shared" si="1"/>
        <v>16849.124513098715</v>
      </c>
      <c r="K136" s="34">
        <f t="shared" si="1"/>
        <v>15593.8219327145</v>
      </c>
      <c r="L136" s="34">
        <f t="shared" si="1"/>
        <v>17138.839435779148</v>
      </c>
      <c r="M136" s="34">
        <f t="shared" si="1"/>
        <v>15523.639882059779</v>
      </c>
      <c r="N136" s="34">
        <f t="shared" si="1"/>
        <v>190068.56929878797</v>
      </c>
    </row>
    <row r="137" spans="1:14" ht="15.75">
      <c r="A137" s="39" t="s">
        <v>206</v>
      </c>
      <c r="B137" s="34">
        <f>+B136+B123</f>
        <v>101210.18326534321</v>
      </c>
      <c r="C137" s="34">
        <f>+C136+C123</f>
        <v>103486.66840899385</v>
      </c>
      <c r="D137" s="34">
        <f>+D136+D123</f>
        <v>97349.35763433075</v>
      </c>
      <c r="E137" s="34">
        <f>+E136+E123</f>
        <v>98063.292923889821</v>
      </c>
      <c r="F137" s="34">
        <f>+F136+F123</f>
        <v>107994.46609374169</v>
      </c>
      <c r="G137" s="34">
        <f t="shared" ref="G137:N137" si="2">+G123+G136</f>
        <v>107436.69265149502</v>
      </c>
      <c r="H137" s="34">
        <f t="shared" si="2"/>
        <v>118718.71168251202</v>
      </c>
      <c r="I137" s="34">
        <f t="shared" si="2"/>
        <v>113246.44430631379</v>
      </c>
      <c r="J137" s="34">
        <f t="shared" si="2"/>
        <v>111597.58317090455</v>
      </c>
      <c r="K137" s="34">
        <f t="shared" si="2"/>
        <v>116932.3097611436</v>
      </c>
      <c r="L137" s="34">
        <f t="shared" si="2"/>
        <v>102653.28721732827</v>
      </c>
      <c r="M137" s="34">
        <f t="shared" si="2"/>
        <v>116555.42828147762</v>
      </c>
      <c r="N137" s="34">
        <f t="shared" si="2"/>
        <v>1295244.4253974741</v>
      </c>
    </row>
    <row r="138" spans="1:14" ht="15.75">
      <c r="A138" s="40" t="s">
        <v>229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3"/>
    </row>
    <row r="139" spans="1:14">
      <c r="A139" s="43" t="s">
        <v>194</v>
      </c>
      <c r="B139" s="32">
        <v>295.2</v>
      </c>
      <c r="C139" s="32">
        <v>275.16999999999996</v>
      </c>
      <c r="D139" s="32">
        <v>237.99</v>
      </c>
      <c r="E139" s="32">
        <v>208.59</v>
      </c>
      <c r="F139" s="32">
        <v>212.21</v>
      </c>
      <c r="G139" s="32">
        <v>211.01000000000002</v>
      </c>
      <c r="H139" s="32">
        <v>266.02000000000004</v>
      </c>
      <c r="I139" s="32">
        <v>288.15000000000003</v>
      </c>
      <c r="J139" s="32">
        <v>299.06</v>
      </c>
      <c r="K139" s="32">
        <v>296.76</v>
      </c>
      <c r="L139" s="32">
        <v>300.11</v>
      </c>
      <c r="M139" s="32">
        <v>324.56</v>
      </c>
      <c r="N139" s="33">
        <f t="shared" ref="N139:N150" si="3">SUM(B139:M139)</f>
        <v>3214.83</v>
      </c>
    </row>
    <row r="140" spans="1:14">
      <c r="A140" s="44" t="s">
        <v>217</v>
      </c>
      <c r="B140" s="32">
        <v>9192.6159811000016</v>
      </c>
      <c r="C140" s="32">
        <v>8031.8567995955946</v>
      </c>
      <c r="D140" s="32">
        <v>8044.6397954605227</v>
      </c>
      <c r="E140" s="32">
        <v>8771.1409597330021</v>
      </c>
      <c r="F140" s="32">
        <v>8980.6665817774647</v>
      </c>
      <c r="G140" s="32">
        <v>7738.7140739898095</v>
      </c>
      <c r="H140" s="32">
        <v>4542.4354995821295</v>
      </c>
      <c r="I140" s="32">
        <v>5876.4535615043687</v>
      </c>
      <c r="J140" s="32">
        <v>7502.9630498372144</v>
      </c>
      <c r="K140" s="32">
        <v>6376.7457280178523</v>
      </c>
      <c r="L140" s="32">
        <v>8656.0086709429052</v>
      </c>
      <c r="M140" s="32">
        <v>9242.6684559371915</v>
      </c>
      <c r="N140" s="33">
        <f t="shared" si="3"/>
        <v>92956.909157478047</v>
      </c>
    </row>
    <row r="141" spans="1:14">
      <c r="A141" s="43" t="s">
        <v>218</v>
      </c>
      <c r="B141" s="32">
        <v>1777.193456255</v>
      </c>
      <c r="C141" s="32">
        <v>2162.0819953639998</v>
      </c>
      <c r="D141" s="32">
        <v>2494.2670616371997</v>
      </c>
      <c r="E141" s="32">
        <v>2404.7850039299997</v>
      </c>
      <c r="F141" s="32">
        <v>2140.1369870849999</v>
      </c>
      <c r="G141" s="32">
        <v>1616.1408630599999</v>
      </c>
      <c r="H141" s="32">
        <v>2426.5584536739998</v>
      </c>
      <c r="I141" s="32">
        <v>2883.444760378</v>
      </c>
      <c r="J141" s="32">
        <v>1532.7511435599999</v>
      </c>
      <c r="K141" s="32">
        <v>2358.6998681739997</v>
      </c>
      <c r="L141" s="32">
        <v>2370.8250581440002</v>
      </c>
      <c r="M141" s="32">
        <v>2851.6739672170002</v>
      </c>
      <c r="N141" s="33">
        <f t="shared" si="3"/>
        <v>27018.558618478197</v>
      </c>
    </row>
    <row r="142" spans="1:14">
      <c r="A142" s="43" t="s">
        <v>219</v>
      </c>
      <c r="B142" s="32">
        <v>3938.1995757000004</v>
      </c>
      <c r="C142" s="32">
        <v>3865.5130708369998</v>
      </c>
      <c r="D142" s="32">
        <v>4123.387213049672</v>
      </c>
      <c r="E142" s="32">
        <v>5069.3402687539992</v>
      </c>
      <c r="F142" s="32">
        <v>6868.0516765249995</v>
      </c>
      <c r="G142" s="32">
        <v>4034.9048977019997</v>
      </c>
      <c r="H142" s="32">
        <v>4059.7724775010001</v>
      </c>
      <c r="I142" s="32">
        <v>5343.3475663519994</v>
      </c>
      <c r="J142" s="32">
        <v>5185.3173206259999</v>
      </c>
      <c r="K142" s="32">
        <v>4816.7220514249993</v>
      </c>
      <c r="L142" s="32">
        <v>5410.8956422680003</v>
      </c>
      <c r="M142" s="32">
        <v>5243.8922066109999</v>
      </c>
      <c r="N142" s="33">
        <f t="shared" si="3"/>
        <v>57959.343967350673</v>
      </c>
    </row>
    <row r="143" spans="1:14">
      <c r="A143" s="38" t="s">
        <v>198</v>
      </c>
      <c r="B143" s="32">
        <v>9.9</v>
      </c>
      <c r="C143" s="32">
        <v>9.1900000000000013</v>
      </c>
      <c r="D143" s="32">
        <v>8.879999999999999</v>
      </c>
      <c r="E143" s="32">
        <v>6.76</v>
      </c>
      <c r="F143" s="32">
        <v>3.7600000000000002</v>
      </c>
      <c r="G143" s="32">
        <v>4.51</v>
      </c>
      <c r="H143" s="32">
        <v>5.8500000000000005</v>
      </c>
      <c r="I143" s="32">
        <v>7.79</v>
      </c>
      <c r="J143" s="32">
        <v>6.34</v>
      </c>
      <c r="K143" s="32">
        <v>7.12</v>
      </c>
      <c r="L143" s="32">
        <v>5.22</v>
      </c>
      <c r="M143" s="32">
        <v>7.07</v>
      </c>
      <c r="N143" s="33">
        <f t="shared" si="3"/>
        <v>82.390000000000015</v>
      </c>
    </row>
    <row r="144" spans="1:14">
      <c r="A144" s="37" t="s">
        <v>199</v>
      </c>
      <c r="B144" s="32">
        <v>11347.209382274999</v>
      </c>
      <c r="C144" s="32">
        <v>12887.068338722</v>
      </c>
      <c r="D144" s="32">
        <v>11052.247313591881</v>
      </c>
      <c r="E144" s="32">
        <v>15008.412341435067</v>
      </c>
      <c r="F144" s="32">
        <v>19163.198144604681</v>
      </c>
      <c r="G144" s="32">
        <v>18251.537705835603</v>
      </c>
      <c r="H144" s="32">
        <v>15523.334112270759</v>
      </c>
      <c r="I144" s="32">
        <v>18688.382526780479</v>
      </c>
      <c r="J144" s="32">
        <v>17423.985430360444</v>
      </c>
      <c r="K144" s="32">
        <v>12495.236039109961</v>
      </c>
      <c r="L144" s="32">
        <v>15265.962686223285</v>
      </c>
      <c r="M144" s="32">
        <v>15292.7831109004</v>
      </c>
      <c r="N144" s="33">
        <f t="shared" si="3"/>
        <v>182399.35713210958</v>
      </c>
    </row>
    <row r="145" spans="1:14">
      <c r="A145" s="37" t="s">
        <v>220</v>
      </c>
      <c r="B145" s="32">
        <v>0.39</v>
      </c>
      <c r="C145" s="32">
        <v>0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3">
        <f t="shared" si="3"/>
        <v>0.39</v>
      </c>
    </row>
    <row r="146" spans="1:14">
      <c r="A146" s="37" t="s">
        <v>221</v>
      </c>
      <c r="B146" s="32">
        <v>8.0975555598</v>
      </c>
      <c r="C146" s="32">
        <v>9.6882018189999997</v>
      </c>
      <c r="D146" s="32">
        <v>15.645980921700001</v>
      </c>
      <c r="E146" s="32">
        <v>13.4759565309</v>
      </c>
      <c r="F146" s="32">
        <v>18.580926069299998</v>
      </c>
      <c r="G146" s="32">
        <v>22.340543260600001</v>
      </c>
      <c r="H146" s="32">
        <v>12.834168845499999</v>
      </c>
      <c r="I146" s="32">
        <v>17.3483838137</v>
      </c>
      <c r="J146" s="32">
        <v>16.136517323000003</v>
      </c>
      <c r="K146" s="32">
        <v>13.653175570299998</v>
      </c>
      <c r="L146" s="32">
        <v>17.951866196300003</v>
      </c>
      <c r="M146" s="32">
        <v>34.608071908200003</v>
      </c>
      <c r="N146" s="33">
        <f t="shared" si="3"/>
        <v>200.3613478183</v>
      </c>
    </row>
    <row r="147" spans="1:14">
      <c r="A147" s="37" t="s">
        <v>201</v>
      </c>
      <c r="B147" s="32">
        <v>100.575790551</v>
      </c>
      <c r="C147" s="32">
        <v>277.11142694599999</v>
      </c>
      <c r="D147" s="32">
        <v>459.70331082920001</v>
      </c>
      <c r="E147" s="32">
        <v>675.18689231810004</v>
      </c>
      <c r="F147" s="32">
        <v>1090.9685571099999</v>
      </c>
      <c r="G147" s="32">
        <v>911.04784649399994</v>
      </c>
      <c r="H147" s="32">
        <v>528.36020437499997</v>
      </c>
      <c r="I147" s="32">
        <v>770.56203365499994</v>
      </c>
      <c r="J147" s="32">
        <v>721.28218429799995</v>
      </c>
      <c r="K147" s="32">
        <v>927.70583169999998</v>
      </c>
      <c r="L147" s="32">
        <v>508.28029720000001</v>
      </c>
      <c r="M147" s="32">
        <v>990.19586777599989</v>
      </c>
      <c r="N147" s="33">
        <f t="shared" si="3"/>
        <v>7960.9802432522993</v>
      </c>
    </row>
    <row r="148" spans="1:14">
      <c r="A148" s="37" t="s">
        <v>202</v>
      </c>
      <c r="B148" s="32">
        <v>3.9359113199999998</v>
      </c>
      <c r="C148" s="32">
        <v>6.4196509960000006</v>
      </c>
      <c r="D148" s="32">
        <v>8.058476648000001</v>
      </c>
      <c r="E148" s="32">
        <v>12.3674</v>
      </c>
      <c r="F148" s="32">
        <v>6.4953807999999995</v>
      </c>
      <c r="G148" s="32">
        <v>1.2</v>
      </c>
      <c r="H148" s="32">
        <v>0</v>
      </c>
      <c r="I148" s="32">
        <v>0.49571787</v>
      </c>
      <c r="J148" s="32">
        <v>0.76682023900000007</v>
      </c>
      <c r="K148" s="32">
        <v>11.947500000000002</v>
      </c>
      <c r="L148" s="32">
        <v>10.630700000000001</v>
      </c>
      <c r="M148" s="32">
        <v>10.018000000000001</v>
      </c>
      <c r="N148" s="33">
        <f t="shared" si="3"/>
        <v>72.335557872999999</v>
      </c>
    </row>
    <row r="149" spans="1:14">
      <c r="A149" s="37" t="s">
        <v>222</v>
      </c>
      <c r="B149" s="32">
        <v>9.9365498519999989</v>
      </c>
      <c r="C149" s="32">
        <v>13.145486383999998</v>
      </c>
      <c r="D149" s="32">
        <v>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3">
        <f t="shared" si="3"/>
        <v>23.082036235999997</v>
      </c>
    </row>
    <row r="150" spans="1:14">
      <c r="A150" s="37" t="s">
        <v>223</v>
      </c>
      <c r="B150" s="32">
        <v>734.69736143199998</v>
      </c>
      <c r="C150" s="32">
        <v>1854.7497039049999</v>
      </c>
      <c r="D150" s="32">
        <v>1906.591581482</v>
      </c>
      <c r="E150" s="32">
        <v>1748.8839046980002</v>
      </c>
      <c r="F150" s="32">
        <v>2350.1525313729999</v>
      </c>
      <c r="G150" s="32">
        <v>2534.2776090216003</v>
      </c>
      <c r="H150" s="32">
        <v>2767.7369389224</v>
      </c>
      <c r="I150" s="32">
        <v>1854.5859286620998</v>
      </c>
      <c r="J150" s="32">
        <v>2611.3171946550001</v>
      </c>
      <c r="K150" s="32">
        <v>1359.4570337129999</v>
      </c>
      <c r="L150" s="32">
        <v>1486.5256641619999</v>
      </c>
      <c r="M150" s="32">
        <v>1625.6530695713607</v>
      </c>
      <c r="N150" s="33">
        <f t="shared" si="3"/>
        <v>22834.62852159746</v>
      </c>
    </row>
    <row r="151" spans="1:14" ht="15.75">
      <c r="A151" s="41" t="s">
        <v>224</v>
      </c>
      <c r="B151" s="34">
        <f t="shared" ref="B151:N151" si="4">SUM(B139:B150)</f>
        <v>27417.951564044804</v>
      </c>
      <c r="C151" s="34">
        <f t="shared" si="4"/>
        <v>29391.994674568596</v>
      </c>
      <c r="D151" s="34">
        <f t="shared" si="4"/>
        <v>28351.410733620174</v>
      </c>
      <c r="E151" s="34">
        <f t="shared" si="4"/>
        <v>33918.942727399066</v>
      </c>
      <c r="F151" s="34">
        <f t="shared" si="4"/>
        <v>40834.220785344442</v>
      </c>
      <c r="G151" s="34">
        <f t="shared" si="4"/>
        <v>35325.683539363614</v>
      </c>
      <c r="H151" s="34">
        <f t="shared" si="4"/>
        <v>30132.901855170789</v>
      </c>
      <c r="I151" s="34">
        <f t="shared" si="4"/>
        <v>35730.560479015643</v>
      </c>
      <c r="J151" s="34">
        <f t="shared" si="4"/>
        <v>35299.91966089866</v>
      </c>
      <c r="K151" s="34">
        <f t="shared" si="4"/>
        <v>28664.047227710111</v>
      </c>
      <c r="L151" s="34">
        <f t="shared" si="4"/>
        <v>34032.410585136495</v>
      </c>
      <c r="M151" s="34">
        <f t="shared" si="4"/>
        <v>35623.122749921145</v>
      </c>
      <c r="N151" s="34">
        <f t="shared" si="4"/>
        <v>394723.16658219357</v>
      </c>
    </row>
    <row r="152" spans="1:14" ht="15.75">
      <c r="A152" s="39" t="s">
        <v>225</v>
      </c>
      <c r="B152" s="34">
        <f t="shared" ref="B152:N152" si="5">+B137-B151</f>
        <v>73792.231701298399</v>
      </c>
      <c r="C152" s="34">
        <f t="shared" si="5"/>
        <v>74094.673734425247</v>
      </c>
      <c r="D152" s="34">
        <f t="shared" si="5"/>
        <v>68997.94690071058</v>
      </c>
      <c r="E152" s="34">
        <f t="shared" si="5"/>
        <v>64144.350196490755</v>
      </c>
      <c r="F152" s="34">
        <f t="shared" si="5"/>
        <v>67160.24530839725</v>
      </c>
      <c r="G152" s="34">
        <f t="shared" si="5"/>
        <v>72111.009112131404</v>
      </c>
      <c r="H152" s="34">
        <f t="shared" si="5"/>
        <v>88585.809827341232</v>
      </c>
      <c r="I152" s="34">
        <f t="shared" si="5"/>
        <v>77515.883827298152</v>
      </c>
      <c r="J152" s="34">
        <f t="shared" si="5"/>
        <v>76297.663510005892</v>
      </c>
      <c r="K152" s="34">
        <f t="shared" si="5"/>
        <v>88268.262533433488</v>
      </c>
      <c r="L152" s="34">
        <f t="shared" si="5"/>
        <v>68620.876632191765</v>
      </c>
      <c r="M152" s="34">
        <f t="shared" si="5"/>
        <v>80932.305531556485</v>
      </c>
      <c r="N152" s="34">
        <f t="shared" si="5"/>
        <v>900521.25881528051</v>
      </c>
    </row>
    <row r="153" spans="1:14">
      <c r="A153" s="119"/>
      <c r="B153" s="120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</row>
    <row r="154" spans="1:14">
      <c r="A154" s="122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</row>
    <row r="155" spans="1:14">
      <c r="A155" s="124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</row>
    <row r="156" spans="1:14">
      <c r="A156" s="124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</row>
    <row r="157" spans="1:14">
      <c r="A157" s="124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6"/>
    </row>
    <row r="158" spans="1:14">
      <c r="A158" s="124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6"/>
    </row>
    <row r="159" spans="1:14">
      <c r="A159" s="124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6"/>
    </row>
    <row r="160" spans="1:14">
      <c r="A160" s="124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6"/>
    </row>
    <row r="161" spans="1:14">
      <c r="A161" s="124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6"/>
    </row>
    <row r="162" spans="1:14">
      <c r="A162" s="127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6"/>
    </row>
  </sheetData>
  <mergeCells count="5">
    <mergeCell ref="A42:N42"/>
    <mergeCell ref="A80:N80"/>
    <mergeCell ref="A3:N3"/>
    <mergeCell ref="A119:N119"/>
    <mergeCell ref="A120:N1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1B20-DF91-4C89-B7A4-EF6CFE7B78D4}">
  <dimension ref="A1:U44"/>
  <sheetViews>
    <sheetView showGridLines="0" workbookViewId="0">
      <selection activeCell="H15" sqref="H15"/>
    </sheetView>
  </sheetViews>
  <sheetFormatPr defaultRowHeight="15"/>
  <cols>
    <col min="2" max="2" width="11.140625" customWidth="1"/>
    <col min="3" max="3" width="13.140625" customWidth="1"/>
  </cols>
  <sheetData>
    <row r="1" spans="1:21">
      <c r="A1" t="s">
        <v>209</v>
      </c>
    </row>
    <row r="2" spans="1:21">
      <c r="A2" t="s">
        <v>210</v>
      </c>
    </row>
    <row r="3" spans="1:21">
      <c r="A3" t="s">
        <v>211</v>
      </c>
    </row>
    <row r="5" spans="1:21">
      <c r="A5" t="s">
        <v>207</v>
      </c>
    </row>
    <row r="6" spans="1:21">
      <c r="A6" t="s">
        <v>208</v>
      </c>
    </row>
    <row r="8" spans="1:21">
      <c r="A8" s="73" t="s">
        <v>235</v>
      </c>
      <c r="B8" s="73" t="s">
        <v>236</v>
      </c>
      <c r="C8" s="73" t="s">
        <v>237</v>
      </c>
    </row>
    <row r="9" spans="1:21">
      <c r="A9" s="64">
        <v>2021</v>
      </c>
      <c r="B9" s="64" t="s">
        <v>189</v>
      </c>
      <c r="C9" s="131">
        <v>86692.515382787504</v>
      </c>
      <c r="D9" s="48"/>
      <c r="E9" s="48"/>
      <c r="F9" s="48"/>
    </row>
    <row r="10" spans="1:21">
      <c r="A10" s="64">
        <v>2021</v>
      </c>
      <c r="B10" s="64" t="s">
        <v>190</v>
      </c>
      <c r="C10" s="131">
        <v>87441.416368947495</v>
      </c>
      <c r="D10" s="48"/>
    </row>
    <row r="11" spans="1:21">
      <c r="A11" s="64">
        <v>2021</v>
      </c>
      <c r="B11" s="64" t="s">
        <v>191</v>
      </c>
      <c r="C11" s="131">
        <v>113228.86524779499</v>
      </c>
      <c r="D11" s="48"/>
    </row>
    <row r="12" spans="1:21">
      <c r="A12" s="64">
        <v>2021</v>
      </c>
      <c r="B12" s="64" t="s">
        <v>180</v>
      </c>
      <c r="C12" s="131">
        <v>63309.498622749903</v>
      </c>
      <c r="D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</row>
    <row r="13" spans="1:21">
      <c r="A13" s="64">
        <v>2021</v>
      </c>
      <c r="B13" s="64" t="s">
        <v>181</v>
      </c>
      <c r="C13" s="131">
        <v>60800.383481587203</v>
      </c>
      <c r="D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 spans="1:21">
      <c r="A14" s="64">
        <v>2021</v>
      </c>
      <c r="B14" s="64" t="s">
        <v>182</v>
      </c>
      <c r="C14" s="131">
        <v>61073.298999169303</v>
      </c>
      <c r="D14" s="48"/>
      <c r="J14" s="48"/>
      <c r="K14" s="48"/>
      <c r="L14" s="48"/>
      <c r="M14" s="48"/>
      <c r="N14" s="48"/>
      <c r="O14" s="46"/>
      <c r="P14" s="46"/>
      <c r="Q14" s="46"/>
      <c r="R14" s="46"/>
      <c r="S14" s="46"/>
      <c r="T14" s="46"/>
      <c r="U14" s="46"/>
    </row>
    <row r="15" spans="1:21">
      <c r="A15" s="64">
        <v>2021</v>
      </c>
      <c r="B15" s="64" t="s">
        <v>183</v>
      </c>
      <c r="C15" s="131">
        <v>59460.9504380578</v>
      </c>
      <c r="D15" s="4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>
      <c r="A16" s="64">
        <v>2021</v>
      </c>
      <c r="B16" s="64" t="s">
        <v>184</v>
      </c>
      <c r="C16" s="131">
        <v>67310.659830633595</v>
      </c>
      <c r="D16" s="4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1:21">
      <c r="A17" s="64">
        <v>2021</v>
      </c>
      <c r="B17" s="64" t="s">
        <v>185</v>
      </c>
      <c r="C17" s="131">
        <v>69109.876194440003</v>
      </c>
      <c r="D17" s="48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1:21">
      <c r="A18" s="64">
        <v>2021</v>
      </c>
      <c r="B18" s="64" t="s">
        <v>186</v>
      </c>
      <c r="C18" s="131">
        <v>72054.196930859296</v>
      </c>
      <c r="D18" s="48"/>
      <c r="J18" s="46"/>
      <c r="K18" s="46"/>
      <c r="L18" s="46"/>
      <c r="M18" s="46"/>
      <c r="N18" s="46"/>
      <c r="O18" s="21"/>
      <c r="P18" s="21"/>
      <c r="Q18" s="21"/>
      <c r="R18" s="21"/>
      <c r="S18" s="21"/>
      <c r="T18" s="21"/>
      <c r="U18" s="21"/>
    </row>
    <row r="19" spans="1:21">
      <c r="A19" s="64">
        <v>2021</v>
      </c>
      <c r="B19" s="64" t="s">
        <v>187</v>
      </c>
      <c r="C19" s="131">
        <v>79009.388695268004</v>
      </c>
      <c r="D19" s="48"/>
    </row>
    <row r="20" spans="1:21">
      <c r="A20" s="64">
        <v>2021</v>
      </c>
      <c r="B20" s="64" t="s">
        <v>188</v>
      </c>
      <c r="C20" s="131">
        <v>81771.141778992896</v>
      </c>
      <c r="D20" s="48"/>
    </row>
    <row r="21" spans="1:21">
      <c r="A21" s="64">
        <v>2022</v>
      </c>
      <c r="B21" s="64" t="s">
        <v>189</v>
      </c>
      <c r="C21" s="131">
        <v>92441.854830099095</v>
      </c>
      <c r="D21" s="48"/>
    </row>
    <row r="22" spans="1:21">
      <c r="A22" s="64">
        <v>2022</v>
      </c>
      <c r="B22" s="64" t="s">
        <v>190</v>
      </c>
      <c r="C22" s="131">
        <v>85798.258921224493</v>
      </c>
      <c r="D22" s="48"/>
    </row>
    <row r="23" spans="1:21">
      <c r="A23" s="64">
        <v>2022</v>
      </c>
      <c r="B23" s="64" t="s">
        <v>191</v>
      </c>
      <c r="C23" s="131">
        <v>89613.478577777802</v>
      </c>
      <c r="D23" s="48"/>
    </row>
    <row r="24" spans="1:21">
      <c r="A24" s="64">
        <v>2022</v>
      </c>
      <c r="B24" s="64" t="s">
        <v>180</v>
      </c>
      <c r="C24" s="131">
        <v>128800.06584154999</v>
      </c>
      <c r="D24" s="48"/>
    </row>
    <row r="25" spans="1:21">
      <c r="A25" s="64">
        <v>2022</v>
      </c>
      <c r="B25" s="64" t="s">
        <v>181</v>
      </c>
      <c r="C25" s="131">
        <v>119633.62181054099</v>
      </c>
      <c r="D25" s="48"/>
    </row>
    <row r="26" spans="1:21">
      <c r="A26" s="64">
        <v>2022</v>
      </c>
      <c r="B26" s="64" t="s">
        <v>182</v>
      </c>
      <c r="C26" s="131">
        <v>121897.639699565</v>
      </c>
      <c r="D26" s="48"/>
    </row>
    <row r="27" spans="1:21">
      <c r="A27" s="64">
        <v>2022</v>
      </c>
      <c r="B27" s="64" t="s">
        <v>183</v>
      </c>
      <c r="C27" s="131">
        <v>128755.464902629</v>
      </c>
      <c r="D27" s="48"/>
    </row>
    <row r="28" spans="1:21">
      <c r="A28" s="64">
        <v>2022</v>
      </c>
      <c r="B28" s="64" t="s">
        <v>184</v>
      </c>
      <c r="C28" s="131">
        <v>104567.31614182099</v>
      </c>
      <c r="D28" s="48"/>
    </row>
    <row r="29" spans="1:21">
      <c r="A29" s="64">
        <v>2022</v>
      </c>
      <c r="B29" s="64" t="s">
        <v>185</v>
      </c>
      <c r="C29" s="131">
        <v>95157.741525290694</v>
      </c>
      <c r="D29" s="48"/>
    </row>
    <row r="30" spans="1:21">
      <c r="A30" s="64">
        <v>2022</v>
      </c>
      <c r="B30" s="64" t="s">
        <v>186</v>
      </c>
      <c r="C30" s="131">
        <v>99194.385511237793</v>
      </c>
      <c r="D30" s="48"/>
    </row>
    <row r="31" spans="1:21">
      <c r="A31" s="64">
        <v>2022</v>
      </c>
      <c r="B31" s="64" t="s">
        <v>187</v>
      </c>
      <c r="C31" s="131">
        <v>100258.759184423</v>
      </c>
      <c r="D31" s="48"/>
    </row>
    <row r="32" spans="1:21">
      <c r="A32" s="64">
        <v>2022</v>
      </c>
      <c r="B32" s="64" t="s">
        <v>188</v>
      </c>
      <c r="C32" s="131">
        <v>94253.237400611397</v>
      </c>
      <c r="D32" s="48"/>
    </row>
    <row r="33" spans="1:4">
      <c r="A33" s="64">
        <v>2023</v>
      </c>
      <c r="B33" s="64" t="s">
        <v>189</v>
      </c>
      <c r="C33" s="131">
        <v>101436.000144005</v>
      </c>
      <c r="D33" s="48"/>
    </row>
    <row r="34" spans="1:4">
      <c r="A34" s="64">
        <v>2023</v>
      </c>
      <c r="B34" s="64" t="s">
        <v>190</v>
      </c>
      <c r="C34" s="131">
        <v>84496.994328354005</v>
      </c>
      <c r="D34" s="48"/>
    </row>
    <row r="35" spans="1:4">
      <c r="A35" s="64">
        <v>2023</v>
      </c>
      <c r="B35" s="64" t="s">
        <v>191</v>
      </c>
      <c r="C35" s="131">
        <v>100359.03501725401</v>
      </c>
      <c r="D35" s="48"/>
    </row>
    <row r="36" spans="1:4">
      <c r="A36" s="64">
        <v>2023</v>
      </c>
      <c r="B36" s="64" t="s">
        <v>180</v>
      </c>
      <c r="C36" s="131">
        <v>89110.692374873193</v>
      </c>
      <c r="D36" s="48"/>
    </row>
    <row r="37" spans="1:4">
      <c r="A37" s="64">
        <v>2023</v>
      </c>
      <c r="B37" s="64" t="s">
        <v>181</v>
      </c>
      <c r="C37" s="131">
        <v>87422.236418291999</v>
      </c>
      <c r="D37" s="48"/>
    </row>
    <row r="38" spans="1:4">
      <c r="C38" s="130"/>
    </row>
    <row r="39" spans="1:4">
      <c r="C39" s="130"/>
    </row>
    <row r="40" spans="1:4">
      <c r="C40" s="130"/>
    </row>
    <row r="41" spans="1:4">
      <c r="C41" s="130"/>
    </row>
    <row r="42" spans="1:4">
      <c r="C42" s="130"/>
    </row>
    <row r="43" spans="1:4">
      <c r="C43" s="130"/>
    </row>
    <row r="44" spans="1:4">
      <c r="C44" s="130"/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8889-1784-487A-8E29-3EE2AE0AA0D1}">
  <dimension ref="A1:AJ76"/>
  <sheetViews>
    <sheetView showGridLines="0" tabSelected="1" topLeftCell="A49" workbookViewId="0">
      <selection activeCell="C40" sqref="C40"/>
    </sheetView>
  </sheetViews>
  <sheetFormatPr defaultRowHeight="15"/>
  <cols>
    <col min="2" max="2" width="33.28515625" bestFit="1" customWidth="1"/>
    <col min="3" max="3" width="18.7109375" customWidth="1"/>
    <col min="4" max="4" width="11.140625" customWidth="1"/>
    <col min="7" max="7" width="11.85546875" bestFit="1" customWidth="1"/>
    <col min="8" max="8" width="5" bestFit="1" customWidth="1"/>
    <col min="9" max="9" width="10.85546875" bestFit="1" customWidth="1"/>
    <col min="10" max="10" width="19.7109375" bestFit="1" customWidth="1"/>
    <col min="11" max="11" width="13.28515625" bestFit="1" customWidth="1"/>
    <col min="12" max="12" width="6" bestFit="1" customWidth="1"/>
    <col min="13" max="13" width="17" bestFit="1" customWidth="1"/>
    <col min="14" max="14" width="11.85546875" bestFit="1" customWidth="1"/>
    <col min="15" max="15" width="6" bestFit="1" customWidth="1"/>
    <col min="16" max="16" width="11" bestFit="1" customWidth="1"/>
    <col min="17" max="17" width="18.85546875" bestFit="1" customWidth="1"/>
    <col min="18" max="18" width="23" bestFit="1" customWidth="1"/>
    <col min="19" max="19" width="6.5703125" bestFit="1" customWidth="1"/>
    <col min="20" max="20" width="23.28515625" bestFit="1" customWidth="1"/>
    <col min="21" max="21" width="33.28515625" bestFit="1" customWidth="1"/>
    <col min="22" max="22" width="19" bestFit="1" customWidth="1"/>
    <col min="23" max="23" width="26.5703125" bestFit="1" customWidth="1"/>
    <col min="24" max="24" width="8.42578125" bestFit="1" customWidth="1"/>
    <col min="25" max="25" width="9.42578125" bestFit="1" customWidth="1"/>
    <col min="26" max="26" width="21" bestFit="1" customWidth="1"/>
    <col min="27" max="27" width="8.140625" bestFit="1" customWidth="1"/>
    <col min="28" max="28" width="13.140625" bestFit="1" customWidth="1"/>
    <col min="29" max="29" width="28.140625" bestFit="1" customWidth="1"/>
    <col min="30" max="30" width="6.85546875" bestFit="1" customWidth="1"/>
    <col min="31" max="31" width="27.85546875" bestFit="1" customWidth="1"/>
    <col min="32" max="32" width="25.85546875" bestFit="1" customWidth="1"/>
    <col min="33" max="33" width="9.7109375" bestFit="1" customWidth="1"/>
    <col min="34" max="34" width="23.5703125" bestFit="1" customWidth="1"/>
    <col min="35" max="35" width="14" bestFit="1" customWidth="1"/>
    <col min="36" max="36" width="13.7109375" bestFit="1" customWidth="1"/>
  </cols>
  <sheetData>
    <row r="1" spans="1:36">
      <c r="A1" t="s">
        <v>212</v>
      </c>
      <c r="B1" t="s">
        <v>213</v>
      </c>
    </row>
    <row r="2" spans="1:36">
      <c r="B2" t="s">
        <v>214</v>
      </c>
    </row>
    <row r="3" spans="1:36">
      <c r="B3" t="s">
        <v>215</v>
      </c>
    </row>
    <row r="6" spans="1:36">
      <c r="A6" s="73" t="s">
        <v>235</v>
      </c>
      <c r="B6" s="73" t="s">
        <v>236</v>
      </c>
      <c r="C6" s="73" t="s">
        <v>237</v>
      </c>
      <c r="D6" s="136"/>
      <c r="G6" s="73" t="s">
        <v>0</v>
      </c>
      <c r="H6" s="73" t="s">
        <v>1</v>
      </c>
      <c r="I6" s="73" t="s">
        <v>2</v>
      </c>
      <c r="J6" s="73" t="s">
        <v>3</v>
      </c>
      <c r="K6" s="73" t="s">
        <v>4</v>
      </c>
      <c r="L6" s="73" t="s">
        <v>5</v>
      </c>
      <c r="M6" s="73" t="s">
        <v>6</v>
      </c>
      <c r="N6" s="73" t="s">
        <v>7</v>
      </c>
      <c r="O6" s="73" t="s">
        <v>8</v>
      </c>
      <c r="P6" s="73" t="s">
        <v>9</v>
      </c>
      <c r="Q6" s="73" t="s">
        <v>10</v>
      </c>
      <c r="R6" s="73" t="s">
        <v>11</v>
      </c>
      <c r="S6" s="73" t="s">
        <v>12</v>
      </c>
      <c r="T6" s="73" t="s">
        <v>13</v>
      </c>
      <c r="U6" s="73" t="s">
        <v>14</v>
      </c>
      <c r="V6" s="73" t="s">
        <v>15</v>
      </c>
      <c r="W6" s="73" t="s">
        <v>16</v>
      </c>
      <c r="X6" s="73" t="s">
        <v>17</v>
      </c>
      <c r="Y6" s="73" t="s">
        <v>18</v>
      </c>
      <c r="Z6" s="73" t="s">
        <v>19</v>
      </c>
      <c r="AA6" s="73" t="s">
        <v>20</v>
      </c>
      <c r="AB6" s="73" t="s">
        <v>21</v>
      </c>
      <c r="AC6" s="73" t="s">
        <v>22</v>
      </c>
      <c r="AD6" s="73" t="s">
        <v>23</v>
      </c>
      <c r="AE6" s="73" t="s">
        <v>24</v>
      </c>
      <c r="AF6" s="73" t="s">
        <v>25</v>
      </c>
      <c r="AG6" s="73" t="s">
        <v>26</v>
      </c>
      <c r="AH6" s="73" t="s">
        <v>27</v>
      </c>
      <c r="AI6" s="73" t="s">
        <v>28</v>
      </c>
      <c r="AJ6" s="73" t="s">
        <v>29</v>
      </c>
    </row>
    <row r="7" spans="1:36" s="21" customFormat="1" ht="18.75">
      <c r="A7" s="64">
        <v>2021</v>
      </c>
      <c r="B7" s="64" t="s">
        <v>189</v>
      </c>
      <c r="C7" s="131">
        <v>86692.515382787504</v>
      </c>
      <c r="D7" s="133"/>
      <c r="E7" s="47"/>
      <c r="F7"/>
      <c r="G7" s="64" t="s">
        <v>34</v>
      </c>
      <c r="H7" s="64">
        <v>2021</v>
      </c>
      <c r="I7" s="64" t="s">
        <v>31</v>
      </c>
      <c r="J7" s="64">
        <v>144.9</v>
      </c>
      <c r="K7" s="64">
        <v>190.1</v>
      </c>
      <c r="L7" s="64">
        <v>175.3</v>
      </c>
      <c r="M7" s="64">
        <v>154.1</v>
      </c>
      <c r="N7" s="64">
        <v>150.9</v>
      </c>
      <c r="O7" s="64">
        <v>149.6</v>
      </c>
      <c r="P7" s="64">
        <v>194.2</v>
      </c>
      <c r="Q7" s="64">
        <v>160.4</v>
      </c>
      <c r="R7" s="64">
        <v>114.6</v>
      </c>
      <c r="S7" s="64">
        <v>164</v>
      </c>
      <c r="T7" s="64">
        <v>151.80000000000001</v>
      </c>
      <c r="U7" s="64">
        <v>165.6</v>
      </c>
      <c r="V7" s="64">
        <v>161</v>
      </c>
      <c r="W7" s="64">
        <v>186.5</v>
      </c>
      <c r="X7" s="64">
        <v>155.5</v>
      </c>
      <c r="Y7" s="64">
        <v>146.1</v>
      </c>
      <c r="Z7" s="64">
        <v>154.19999999999999</v>
      </c>
      <c r="AA7" s="64">
        <v>157.69999999999999</v>
      </c>
      <c r="AB7" s="64">
        <v>147.9</v>
      </c>
      <c r="AC7" s="64">
        <v>150</v>
      </c>
      <c r="AD7" s="64">
        <v>159.30000000000001</v>
      </c>
      <c r="AE7" s="64">
        <v>141.9</v>
      </c>
      <c r="AF7" s="64">
        <v>149.6</v>
      </c>
      <c r="AG7" s="64">
        <v>159.19999999999999</v>
      </c>
      <c r="AH7" s="64">
        <v>156.80000000000001</v>
      </c>
      <c r="AI7" s="64">
        <v>151.9</v>
      </c>
      <c r="AJ7" s="64">
        <v>157.30000000000001</v>
      </c>
    </row>
    <row r="8" spans="1:36" ht="18.75">
      <c r="A8" s="64">
        <v>2021</v>
      </c>
      <c r="B8" s="64" t="s">
        <v>190</v>
      </c>
      <c r="C8" s="131">
        <v>87441.416368947495</v>
      </c>
      <c r="D8" s="133"/>
      <c r="E8" s="47"/>
      <c r="G8" s="64" t="s">
        <v>34</v>
      </c>
      <c r="H8" s="64">
        <v>2021</v>
      </c>
      <c r="I8" s="64" t="s">
        <v>35</v>
      </c>
      <c r="J8" s="64">
        <v>144.30000000000001</v>
      </c>
      <c r="K8" s="64">
        <v>186.5</v>
      </c>
      <c r="L8" s="64">
        <v>168.7</v>
      </c>
      <c r="M8" s="64">
        <v>154.69999999999999</v>
      </c>
      <c r="N8" s="64">
        <v>158.69999999999999</v>
      </c>
      <c r="O8" s="64">
        <v>150.69999999999999</v>
      </c>
      <c r="P8" s="64">
        <v>160</v>
      </c>
      <c r="Q8" s="64">
        <v>158.80000000000001</v>
      </c>
      <c r="R8" s="64">
        <v>112.8</v>
      </c>
      <c r="S8" s="64">
        <v>164.2</v>
      </c>
      <c r="T8" s="64">
        <v>155.5</v>
      </c>
      <c r="U8" s="64">
        <v>167.5</v>
      </c>
      <c r="V8" s="64">
        <v>156.9</v>
      </c>
      <c r="W8" s="64">
        <v>188.3</v>
      </c>
      <c r="X8" s="64">
        <v>157.19999999999999</v>
      </c>
      <c r="Y8" s="64">
        <v>147.4</v>
      </c>
      <c r="Z8" s="64">
        <v>155.80000000000001</v>
      </c>
      <c r="AA8" s="64">
        <v>159.80000000000001</v>
      </c>
      <c r="AB8" s="64">
        <v>152.4</v>
      </c>
      <c r="AC8" s="64">
        <v>150.9</v>
      </c>
      <c r="AD8" s="64">
        <v>161.30000000000001</v>
      </c>
      <c r="AE8" s="64">
        <v>145.1</v>
      </c>
      <c r="AF8" s="64">
        <v>151.5</v>
      </c>
      <c r="AG8" s="64">
        <v>159.5</v>
      </c>
      <c r="AH8" s="64">
        <v>155.80000000000001</v>
      </c>
      <c r="AI8" s="64">
        <v>153.4</v>
      </c>
      <c r="AJ8" s="64">
        <v>156.6</v>
      </c>
    </row>
    <row r="9" spans="1:36" ht="18.75">
      <c r="A9" s="64">
        <v>2021</v>
      </c>
      <c r="B9" s="64" t="s">
        <v>191</v>
      </c>
      <c r="C9" s="131">
        <v>113228.86524779499</v>
      </c>
      <c r="D9" s="133"/>
      <c r="E9" s="47"/>
      <c r="G9" s="64" t="s">
        <v>34</v>
      </c>
      <c r="H9" s="64">
        <v>2021</v>
      </c>
      <c r="I9" s="64" t="s">
        <v>36</v>
      </c>
      <c r="J9" s="64">
        <v>144.1</v>
      </c>
      <c r="K9" s="64">
        <v>192.2</v>
      </c>
      <c r="L9" s="64">
        <v>163.80000000000001</v>
      </c>
      <c r="M9" s="64">
        <v>154.9</v>
      </c>
      <c r="N9" s="64">
        <v>163.9</v>
      </c>
      <c r="O9" s="64">
        <v>153.69999999999999</v>
      </c>
      <c r="P9" s="64">
        <v>149.5</v>
      </c>
      <c r="Q9" s="64">
        <v>159.80000000000001</v>
      </c>
      <c r="R9" s="64">
        <v>112.6</v>
      </c>
      <c r="S9" s="64">
        <v>163.5</v>
      </c>
      <c r="T9" s="64">
        <v>156.5</v>
      </c>
      <c r="U9" s="64">
        <v>168.2</v>
      </c>
      <c r="V9" s="64">
        <v>156.69999999999999</v>
      </c>
      <c r="W9" s="64">
        <v>188.1</v>
      </c>
      <c r="X9" s="64">
        <v>157.80000000000001</v>
      </c>
      <c r="Y9" s="64">
        <v>147.9</v>
      </c>
      <c r="Z9" s="64">
        <v>156.4</v>
      </c>
      <c r="AA9" s="64">
        <v>159.9</v>
      </c>
      <c r="AB9" s="64">
        <v>155.5</v>
      </c>
      <c r="AC9" s="64">
        <v>151.19999999999999</v>
      </c>
      <c r="AD9" s="64">
        <v>161.69999999999999</v>
      </c>
      <c r="AE9" s="64">
        <v>146.19999999999999</v>
      </c>
      <c r="AF9" s="64">
        <v>152.6</v>
      </c>
      <c r="AG9" s="64">
        <v>160.19999999999999</v>
      </c>
      <c r="AH9" s="64">
        <v>153.80000000000001</v>
      </c>
      <c r="AI9" s="64">
        <v>153.80000000000001</v>
      </c>
      <c r="AJ9" s="64">
        <v>156.80000000000001</v>
      </c>
    </row>
    <row r="10" spans="1:36" ht="18.75">
      <c r="A10" s="64">
        <v>2021</v>
      </c>
      <c r="B10" s="64" t="s">
        <v>180</v>
      </c>
      <c r="C10" s="131">
        <v>63309.498622749903</v>
      </c>
      <c r="D10" s="133"/>
      <c r="E10" s="47"/>
      <c r="G10" s="64" t="s">
        <v>34</v>
      </c>
      <c r="H10" s="64">
        <v>2021</v>
      </c>
      <c r="I10" s="64" t="s">
        <v>37</v>
      </c>
      <c r="J10" s="64">
        <v>144.30000000000001</v>
      </c>
      <c r="K10" s="64">
        <v>198</v>
      </c>
      <c r="L10" s="64">
        <v>164.6</v>
      </c>
      <c r="M10" s="64">
        <v>155.4</v>
      </c>
      <c r="N10" s="64">
        <v>170.1</v>
      </c>
      <c r="O10" s="64">
        <v>164.4</v>
      </c>
      <c r="P10" s="64">
        <v>144.1</v>
      </c>
      <c r="Q10" s="64">
        <v>161.69999999999999</v>
      </c>
      <c r="R10" s="64">
        <v>113.1</v>
      </c>
      <c r="S10" s="64">
        <v>163.9</v>
      </c>
      <c r="T10" s="64">
        <v>157.6</v>
      </c>
      <c r="U10" s="64">
        <v>168.9</v>
      </c>
      <c r="V10" s="64">
        <v>158</v>
      </c>
      <c r="W10" s="64">
        <v>188.8</v>
      </c>
      <c r="X10" s="64">
        <v>158.80000000000001</v>
      </c>
      <c r="Y10" s="64">
        <v>148.5</v>
      </c>
      <c r="Z10" s="64">
        <v>157.30000000000001</v>
      </c>
      <c r="AA10" s="64">
        <v>161.4</v>
      </c>
      <c r="AB10" s="64">
        <v>155.6</v>
      </c>
      <c r="AC10" s="64">
        <v>151.80000000000001</v>
      </c>
      <c r="AD10" s="64">
        <v>162.30000000000001</v>
      </c>
      <c r="AE10" s="64">
        <v>146.6</v>
      </c>
      <c r="AF10" s="64">
        <v>153.19999999999999</v>
      </c>
      <c r="AG10" s="64">
        <v>160.30000000000001</v>
      </c>
      <c r="AH10" s="64">
        <v>155.4</v>
      </c>
      <c r="AI10" s="64">
        <v>154.4</v>
      </c>
      <c r="AJ10" s="64">
        <v>157.80000000000001</v>
      </c>
    </row>
    <row r="11" spans="1:36" ht="18.75">
      <c r="A11" s="64">
        <v>2021</v>
      </c>
      <c r="B11" s="64" t="s">
        <v>181</v>
      </c>
      <c r="C11" s="131">
        <v>60800.383481587203</v>
      </c>
      <c r="D11" s="133"/>
      <c r="E11" s="47"/>
      <c r="G11" s="64" t="s">
        <v>34</v>
      </c>
      <c r="H11" s="64">
        <v>2021</v>
      </c>
      <c r="I11" s="64" t="s">
        <v>38</v>
      </c>
      <c r="J11" s="64">
        <v>146.30000000000001</v>
      </c>
      <c r="K11" s="64">
        <v>200.5</v>
      </c>
      <c r="L11" s="64">
        <v>170.3</v>
      </c>
      <c r="M11" s="64">
        <v>156.1</v>
      </c>
      <c r="N11" s="64">
        <v>178.7</v>
      </c>
      <c r="O11" s="64">
        <v>167.1</v>
      </c>
      <c r="P11" s="64">
        <v>147.9</v>
      </c>
      <c r="Q11" s="64">
        <v>165.4</v>
      </c>
      <c r="R11" s="64">
        <v>114.8</v>
      </c>
      <c r="S11" s="64">
        <v>168.2</v>
      </c>
      <c r="T11" s="64">
        <v>159.30000000000001</v>
      </c>
      <c r="U11" s="64">
        <v>170.4</v>
      </c>
      <c r="V11" s="64">
        <v>160.69999999999999</v>
      </c>
      <c r="W11" s="64">
        <v>191.9</v>
      </c>
      <c r="X11" s="64">
        <v>161.80000000000001</v>
      </c>
      <c r="Y11" s="64">
        <v>152.1</v>
      </c>
      <c r="Z11" s="64">
        <v>160.4</v>
      </c>
      <c r="AA11" s="64">
        <v>161.6</v>
      </c>
      <c r="AB11" s="64">
        <v>159.4</v>
      </c>
      <c r="AC11" s="64">
        <v>154.69999999999999</v>
      </c>
      <c r="AD11" s="64">
        <v>165.8</v>
      </c>
      <c r="AE11" s="64">
        <v>148.9</v>
      </c>
      <c r="AF11" s="64">
        <v>155.80000000000001</v>
      </c>
      <c r="AG11" s="64">
        <v>161.19999999999999</v>
      </c>
      <c r="AH11" s="64">
        <v>158.6</v>
      </c>
      <c r="AI11" s="64">
        <v>156.80000000000001</v>
      </c>
      <c r="AJ11" s="64">
        <v>160.4</v>
      </c>
    </row>
    <row r="12" spans="1:36" ht="18.75">
      <c r="A12" s="64">
        <v>2021</v>
      </c>
      <c r="B12" s="64" t="s">
        <v>182</v>
      </c>
      <c r="C12" s="131">
        <v>61073.298999169303</v>
      </c>
      <c r="D12" s="133"/>
      <c r="E12" s="47"/>
      <c r="G12" s="64" t="s">
        <v>34</v>
      </c>
      <c r="H12" s="64">
        <v>2021</v>
      </c>
      <c r="I12" s="64" t="s">
        <v>39</v>
      </c>
      <c r="J12" s="64">
        <v>146.69999999999999</v>
      </c>
      <c r="K12" s="64">
        <v>202</v>
      </c>
      <c r="L12" s="64">
        <v>180.7</v>
      </c>
      <c r="M12" s="64">
        <v>156.19999999999999</v>
      </c>
      <c r="N12" s="64">
        <v>183.7</v>
      </c>
      <c r="O12" s="64">
        <v>164.6</v>
      </c>
      <c r="P12" s="64">
        <v>155.4</v>
      </c>
      <c r="Q12" s="64">
        <v>166</v>
      </c>
      <c r="R12" s="64">
        <v>115.1</v>
      </c>
      <c r="S12" s="64">
        <v>168.5</v>
      </c>
      <c r="T12" s="64">
        <v>160</v>
      </c>
      <c r="U12" s="64">
        <v>172.4</v>
      </c>
      <c r="V12" s="64">
        <v>162.6</v>
      </c>
      <c r="W12" s="64">
        <v>190.8</v>
      </c>
      <c r="X12" s="64">
        <v>162.19999999999999</v>
      </c>
      <c r="Y12" s="64">
        <v>151.80000000000001</v>
      </c>
      <c r="Z12" s="64">
        <v>160.69999999999999</v>
      </c>
      <c r="AA12" s="64">
        <v>160.5</v>
      </c>
      <c r="AB12" s="64">
        <v>159.80000000000001</v>
      </c>
      <c r="AC12" s="64">
        <v>154.80000000000001</v>
      </c>
      <c r="AD12" s="64">
        <v>166.3</v>
      </c>
      <c r="AE12" s="64">
        <v>150.69999999999999</v>
      </c>
      <c r="AF12" s="64">
        <v>154.9</v>
      </c>
      <c r="AG12" s="64">
        <v>161.69999999999999</v>
      </c>
      <c r="AH12" s="64">
        <v>158.80000000000001</v>
      </c>
      <c r="AI12" s="64">
        <v>157.6</v>
      </c>
      <c r="AJ12" s="64">
        <v>161.30000000000001</v>
      </c>
    </row>
    <row r="13" spans="1:36" ht="18.75">
      <c r="A13" s="64">
        <v>2021</v>
      </c>
      <c r="B13" s="64" t="s">
        <v>183</v>
      </c>
      <c r="C13" s="131">
        <v>59460.9504380578</v>
      </c>
      <c r="D13" s="133"/>
      <c r="E13" s="47"/>
      <c r="G13" s="64" t="s">
        <v>34</v>
      </c>
      <c r="H13" s="64">
        <v>2021</v>
      </c>
      <c r="I13" s="64" t="s">
        <v>40</v>
      </c>
      <c r="J13" s="64">
        <v>146.4</v>
      </c>
      <c r="K13" s="64">
        <v>206.8</v>
      </c>
      <c r="L13" s="64">
        <v>182.2</v>
      </c>
      <c r="M13" s="64">
        <v>157.5</v>
      </c>
      <c r="N13" s="64">
        <v>182.1</v>
      </c>
      <c r="O13" s="64">
        <v>163.9</v>
      </c>
      <c r="P13" s="64">
        <v>164.2</v>
      </c>
      <c r="Q13" s="64">
        <v>164</v>
      </c>
      <c r="R13" s="64">
        <v>114.5</v>
      </c>
      <c r="S13" s="64">
        <v>168.3</v>
      </c>
      <c r="T13" s="64">
        <v>160.9</v>
      </c>
      <c r="U13" s="64">
        <v>172.2</v>
      </c>
      <c r="V13" s="64">
        <v>164</v>
      </c>
      <c r="W13" s="64">
        <v>191.2</v>
      </c>
      <c r="X13" s="64">
        <v>162.80000000000001</v>
      </c>
      <c r="Y13" s="64">
        <v>153.1</v>
      </c>
      <c r="Z13" s="64">
        <v>161.4</v>
      </c>
      <c r="AA13" s="64">
        <v>161.5</v>
      </c>
      <c r="AB13" s="64">
        <v>160.69999999999999</v>
      </c>
      <c r="AC13" s="64">
        <v>155.80000000000001</v>
      </c>
      <c r="AD13" s="64">
        <v>167</v>
      </c>
      <c r="AE13" s="64">
        <v>153.1</v>
      </c>
      <c r="AF13" s="64">
        <v>155.30000000000001</v>
      </c>
      <c r="AG13" s="64">
        <v>163.19999999999999</v>
      </c>
      <c r="AH13" s="64">
        <v>160.1</v>
      </c>
      <c r="AI13" s="64">
        <v>159</v>
      </c>
      <c r="AJ13" s="64">
        <v>162.5</v>
      </c>
    </row>
    <row r="14" spans="1:36" ht="18.75">
      <c r="A14" s="64">
        <v>2021</v>
      </c>
      <c r="B14" s="64" t="s">
        <v>184</v>
      </c>
      <c r="C14" s="131">
        <v>67310.659830633595</v>
      </c>
      <c r="D14" s="133"/>
      <c r="E14" s="47"/>
      <c r="G14" s="64" t="s">
        <v>34</v>
      </c>
      <c r="H14" s="64">
        <v>2021</v>
      </c>
      <c r="I14" s="64" t="s">
        <v>41</v>
      </c>
      <c r="J14" s="64">
        <v>146.6</v>
      </c>
      <c r="K14" s="64">
        <v>204</v>
      </c>
      <c r="L14" s="64">
        <v>172.8</v>
      </c>
      <c r="M14" s="64">
        <v>158.4</v>
      </c>
      <c r="N14" s="64">
        <v>188</v>
      </c>
      <c r="O14" s="64">
        <v>156.80000000000001</v>
      </c>
      <c r="P14" s="64">
        <v>162.19999999999999</v>
      </c>
      <c r="Q14" s="64">
        <v>164.1</v>
      </c>
      <c r="R14" s="64">
        <v>119.7</v>
      </c>
      <c r="S14" s="64">
        <v>168.8</v>
      </c>
      <c r="T14" s="64">
        <v>162.69999999999999</v>
      </c>
      <c r="U14" s="64">
        <v>173.9</v>
      </c>
      <c r="V14" s="64">
        <v>164</v>
      </c>
      <c r="W14" s="64">
        <v>192.1</v>
      </c>
      <c r="X14" s="64">
        <v>164.5</v>
      </c>
      <c r="Y14" s="64">
        <v>155.30000000000001</v>
      </c>
      <c r="Z14" s="64">
        <v>163.19999999999999</v>
      </c>
      <c r="AA14" s="64">
        <v>162.1</v>
      </c>
      <c r="AB14" s="64">
        <v>162.6</v>
      </c>
      <c r="AC14" s="64">
        <v>157.5</v>
      </c>
      <c r="AD14" s="64">
        <v>168.4</v>
      </c>
      <c r="AE14" s="64">
        <v>154</v>
      </c>
      <c r="AF14" s="64">
        <v>157.6</v>
      </c>
      <c r="AG14" s="64">
        <v>163.80000000000001</v>
      </c>
      <c r="AH14" s="64">
        <v>160</v>
      </c>
      <c r="AI14" s="64">
        <v>160</v>
      </c>
      <c r="AJ14" s="64">
        <v>163.19999999999999</v>
      </c>
    </row>
    <row r="15" spans="1:36" ht="18.75">
      <c r="A15" s="64">
        <v>2021</v>
      </c>
      <c r="B15" s="64" t="s">
        <v>185</v>
      </c>
      <c r="C15" s="131">
        <v>69109.876194440003</v>
      </c>
      <c r="D15" s="133"/>
      <c r="E15" s="47"/>
      <c r="G15" s="64" t="s">
        <v>34</v>
      </c>
      <c r="H15" s="64">
        <v>2021</v>
      </c>
      <c r="I15" s="64" t="s">
        <v>42</v>
      </c>
      <c r="J15" s="64">
        <v>146.6</v>
      </c>
      <c r="K15" s="64">
        <v>204</v>
      </c>
      <c r="L15" s="64">
        <v>172.8</v>
      </c>
      <c r="M15" s="64">
        <v>158.4</v>
      </c>
      <c r="N15" s="64">
        <v>188</v>
      </c>
      <c r="O15" s="64">
        <v>156.69999999999999</v>
      </c>
      <c r="P15" s="64">
        <v>162.30000000000001</v>
      </c>
      <c r="Q15" s="64">
        <v>164.1</v>
      </c>
      <c r="R15" s="64">
        <v>119.7</v>
      </c>
      <c r="S15" s="64">
        <v>168.8</v>
      </c>
      <c r="T15" s="64">
        <v>162.69999999999999</v>
      </c>
      <c r="U15" s="64">
        <v>173.9</v>
      </c>
      <c r="V15" s="64">
        <v>164</v>
      </c>
      <c r="W15" s="64">
        <v>192.1</v>
      </c>
      <c r="X15" s="64">
        <v>164.6</v>
      </c>
      <c r="Y15" s="64">
        <v>155.30000000000001</v>
      </c>
      <c r="Z15" s="64">
        <v>163.30000000000001</v>
      </c>
      <c r="AA15" s="64">
        <v>162.1</v>
      </c>
      <c r="AB15" s="64">
        <v>162.6</v>
      </c>
      <c r="AC15" s="64">
        <v>157.5</v>
      </c>
      <c r="AD15" s="64">
        <v>168.4</v>
      </c>
      <c r="AE15" s="64">
        <v>154</v>
      </c>
      <c r="AF15" s="64">
        <v>157.69999999999999</v>
      </c>
      <c r="AG15" s="64">
        <v>163.69999999999999</v>
      </c>
      <c r="AH15" s="64">
        <v>160</v>
      </c>
      <c r="AI15" s="64">
        <v>160</v>
      </c>
      <c r="AJ15" s="64">
        <v>163.19999999999999</v>
      </c>
    </row>
    <row r="16" spans="1:36" ht="18.75">
      <c r="A16" s="64">
        <v>2021</v>
      </c>
      <c r="B16" s="64" t="s">
        <v>186</v>
      </c>
      <c r="C16" s="131">
        <v>72054.196930859296</v>
      </c>
      <c r="D16" s="133"/>
      <c r="E16" s="47"/>
      <c r="G16" s="64" t="s">
        <v>34</v>
      </c>
      <c r="H16" s="64">
        <v>2021</v>
      </c>
      <c r="I16" s="64" t="s">
        <v>43</v>
      </c>
      <c r="J16" s="64">
        <v>147.4</v>
      </c>
      <c r="K16" s="64">
        <v>204.6</v>
      </c>
      <c r="L16" s="64">
        <v>171.2</v>
      </c>
      <c r="M16" s="64">
        <v>158.69999999999999</v>
      </c>
      <c r="N16" s="64">
        <v>190.6</v>
      </c>
      <c r="O16" s="64">
        <v>155.69999999999999</v>
      </c>
      <c r="P16" s="64">
        <v>185.3</v>
      </c>
      <c r="Q16" s="64">
        <v>165.2</v>
      </c>
      <c r="R16" s="64">
        <v>121.9</v>
      </c>
      <c r="S16" s="64">
        <v>169.3</v>
      </c>
      <c r="T16" s="64">
        <v>163.19999999999999</v>
      </c>
      <c r="U16" s="64">
        <v>174.7</v>
      </c>
      <c r="V16" s="64">
        <v>167.7</v>
      </c>
      <c r="W16" s="64">
        <v>192.7</v>
      </c>
      <c r="X16" s="64">
        <v>165.7</v>
      </c>
      <c r="Y16" s="64">
        <v>156.30000000000001</v>
      </c>
      <c r="Z16" s="64">
        <v>164.3</v>
      </c>
      <c r="AA16" s="64">
        <v>163.6</v>
      </c>
      <c r="AB16" s="64">
        <v>164.2</v>
      </c>
      <c r="AC16" s="64">
        <v>158.4</v>
      </c>
      <c r="AD16" s="64">
        <v>169.1</v>
      </c>
      <c r="AE16" s="64">
        <v>155.69999999999999</v>
      </c>
      <c r="AF16" s="64">
        <v>158.6</v>
      </c>
      <c r="AG16" s="64">
        <v>163.9</v>
      </c>
      <c r="AH16" s="64">
        <v>160.80000000000001</v>
      </c>
      <c r="AI16" s="64">
        <v>161</v>
      </c>
      <c r="AJ16" s="64">
        <v>165.5</v>
      </c>
    </row>
    <row r="17" spans="1:36" ht="18.75">
      <c r="A17" s="64">
        <v>2021</v>
      </c>
      <c r="B17" s="64" t="s">
        <v>187</v>
      </c>
      <c r="C17" s="131">
        <v>79009.388695268004</v>
      </c>
      <c r="D17" s="133"/>
      <c r="E17" s="47"/>
      <c r="G17" s="64" t="s">
        <v>34</v>
      </c>
      <c r="H17" s="64">
        <v>2021</v>
      </c>
      <c r="I17" s="64" t="s">
        <v>45</v>
      </c>
      <c r="J17" s="64">
        <v>148.19999999999999</v>
      </c>
      <c r="K17" s="64">
        <v>201.6</v>
      </c>
      <c r="L17" s="64">
        <v>173</v>
      </c>
      <c r="M17" s="64">
        <v>159.30000000000001</v>
      </c>
      <c r="N17" s="64">
        <v>190.1</v>
      </c>
      <c r="O17" s="64">
        <v>156.5</v>
      </c>
      <c r="P17" s="64">
        <v>199.2</v>
      </c>
      <c r="Q17" s="64">
        <v>165.3</v>
      </c>
      <c r="R17" s="64">
        <v>122.4</v>
      </c>
      <c r="S17" s="64">
        <v>169.6</v>
      </c>
      <c r="T17" s="64">
        <v>163.69999999999999</v>
      </c>
      <c r="U17" s="64">
        <v>175.5</v>
      </c>
      <c r="V17" s="64">
        <v>169.7</v>
      </c>
      <c r="W17" s="64">
        <v>192.9</v>
      </c>
      <c r="X17" s="64">
        <v>167.2</v>
      </c>
      <c r="Y17" s="64">
        <v>157.4</v>
      </c>
      <c r="Z17" s="64">
        <v>165.8</v>
      </c>
      <c r="AA17" s="64">
        <v>164.2</v>
      </c>
      <c r="AB17" s="64">
        <v>163.9</v>
      </c>
      <c r="AC17" s="64">
        <v>159.30000000000001</v>
      </c>
      <c r="AD17" s="64">
        <v>169.9</v>
      </c>
      <c r="AE17" s="64">
        <v>154.80000000000001</v>
      </c>
      <c r="AF17" s="64">
        <v>159.80000000000001</v>
      </c>
      <c r="AG17" s="64">
        <v>164.3</v>
      </c>
      <c r="AH17" s="64">
        <v>162.19999999999999</v>
      </c>
      <c r="AI17" s="64">
        <v>161.4</v>
      </c>
      <c r="AJ17" s="64">
        <v>166.7</v>
      </c>
    </row>
    <row r="18" spans="1:36" ht="18.75">
      <c r="A18" s="64">
        <v>2021</v>
      </c>
      <c r="B18" s="64" t="s">
        <v>188</v>
      </c>
      <c r="C18" s="131">
        <v>81771.141778992896</v>
      </c>
      <c r="D18" s="133"/>
      <c r="E18" s="47"/>
      <c r="G18" s="64" t="s">
        <v>34</v>
      </c>
      <c r="H18" s="64">
        <v>2021</v>
      </c>
      <c r="I18" s="64" t="s">
        <v>46</v>
      </c>
      <c r="J18" s="64">
        <v>148.69999999999999</v>
      </c>
      <c r="K18" s="64">
        <v>198.8</v>
      </c>
      <c r="L18" s="64">
        <v>177.9</v>
      </c>
      <c r="M18" s="64">
        <v>159.9</v>
      </c>
      <c r="N18" s="64">
        <v>187.6</v>
      </c>
      <c r="O18" s="64">
        <v>154.9</v>
      </c>
      <c r="P18" s="64">
        <v>188.3</v>
      </c>
      <c r="Q18" s="64">
        <v>164.4</v>
      </c>
      <c r="R18" s="64">
        <v>121</v>
      </c>
      <c r="S18" s="64">
        <v>170.5</v>
      </c>
      <c r="T18" s="64">
        <v>164.2</v>
      </c>
      <c r="U18" s="64">
        <v>176.5</v>
      </c>
      <c r="V18" s="64">
        <v>168.2</v>
      </c>
      <c r="W18" s="64">
        <v>192.4</v>
      </c>
      <c r="X18" s="64">
        <v>168.5</v>
      </c>
      <c r="Y18" s="64">
        <v>158.69999999999999</v>
      </c>
      <c r="Z18" s="64">
        <v>167</v>
      </c>
      <c r="AA18" s="64">
        <v>163.4</v>
      </c>
      <c r="AB18" s="64">
        <v>164.1</v>
      </c>
      <c r="AC18" s="64">
        <v>160.19999999999999</v>
      </c>
      <c r="AD18" s="64">
        <v>170.6</v>
      </c>
      <c r="AE18" s="64">
        <v>155.69999999999999</v>
      </c>
      <c r="AF18" s="64">
        <v>160.6</v>
      </c>
      <c r="AG18" s="64">
        <v>164.4</v>
      </c>
      <c r="AH18" s="64">
        <v>162.6</v>
      </c>
      <c r="AI18" s="64">
        <v>162</v>
      </c>
      <c r="AJ18" s="64">
        <v>166.2</v>
      </c>
    </row>
    <row r="19" spans="1:36" ht="18.75">
      <c r="A19" s="64">
        <v>2022</v>
      </c>
      <c r="B19" s="64" t="s">
        <v>189</v>
      </c>
      <c r="C19" s="131">
        <v>92441.854830099095</v>
      </c>
      <c r="D19" s="133"/>
      <c r="E19" s="47"/>
      <c r="G19" s="64" t="s">
        <v>34</v>
      </c>
      <c r="H19" s="64">
        <v>2022</v>
      </c>
      <c r="I19" s="64" t="s">
        <v>31</v>
      </c>
      <c r="J19" s="64">
        <v>149.5</v>
      </c>
      <c r="K19" s="64">
        <v>198.7</v>
      </c>
      <c r="L19" s="64">
        <v>178.8</v>
      </c>
      <c r="M19" s="64">
        <v>160.5</v>
      </c>
      <c r="N19" s="64">
        <v>184.7</v>
      </c>
      <c r="O19" s="64">
        <v>153.69999999999999</v>
      </c>
      <c r="P19" s="64">
        <v>174.3</v>
      </c>
      <c r="Q19" s="64">
        <v>163.9</v>
      </c>
      <c r="R19" s="64">
        <v>120</v>
      </c>
      <c r="S19" s="64">
        <v>172.1</v>
      </c>
      <c r="T19" s="64">
        <v>164.3</v>
      </c>
      <c r="U19" s="64">
        <v>177.3</v>
      </c>
      <c r="V19" s="64">
        <v>166.4</v>
      </c>
      <c r="W19" s="64">
        <v>192.2</v>
      </c>
      <c r="X19" s="64">
        <v>169.9</v>
      </c>
      <c r="Y19" s="64">
        <v>160.69999999999999</v>
      </c>
      <c r="Z19" s="64">
        <v>168.5</v>
      </c>
      <c r="AA19" s="64">
        <v>164.5</v>
      </c>
      <c r="AB19" s="64">
        <v>164.2</v>
      </c>
      <c r="AC19" s="64">
        <v>161.1</v>
      </c>
      <c r="AD19" s="64">
        <v>171.4</v>
      </c>
      <c r="AE19" s="64">
        <v>156.5</v>
      </c>
      <c r="AF19" s="64">
        <v>161.19999999999999</v>
      </c>
      <c r="AG19" s="64">
        <v>164.7</v>
      </c>
      <c r="AH19" s="64">
        <v>163</v>
      </c>
      <c r="AI19" s="64">
        <v>162.69999999999999</v>
      </c>
      <c r="AJ19" s="64">
        <v>165.7</v>
      </c>
    </row>
    <row r="20" spans="1:36" ht="18.75">
      <c r="A20" s="64">
        <v>2022</v>
      </c>
      <c r="B20" s="64" t="s">
        <v>190</v>
      </c>
      <c r="C20" s="131">
        <v>85798.258921224493</v>
      </c>
      <c r="D20" s="133"/>
      <c r="E20" s="47"/>
      <c r="G20" s="64" t="s">
        <v>34</v>
      </c>
      <c r="H20" s="64">
        <v>2022</v>
      </c>
      <c r="I20" s="64" t="s">
        <v>35</v>
      </c>
      <c r="J20" s="64">
        <v>150</v>
      </c>
      <c r="K20" s="64">
        <v>200.6</v>
      </c>
      <c r="L20" s="64">
        <v>175.8</v>
      </c>
      <c r="M20" s="64">
        <v>160.69999999999999</v>
      </c>
      <c r="N20" s="64">
        <v>184.9</v>
      </c>
      <c r="O20" s="64">
        <v>153.69999999999999</v>
      </c>
      <c r="P20" s="64">
        <v>169.7</v>
      </c>
      <c r="Q20" s="64">
        <v>163.69999999999999</v>
      </c>
      <c r="R20" s="64">
        <v>118.9</v>
      </c>
      <c r="S20" s="64">
        <v>174.3</v>
      </c>
      <c r="T20" s="64">
        <v>164.7</v>
      </c>
      <c r="U20" s="64">
        <v>178</v>
      </c>
      <c r="V20" s="64">
        <v>166.2</v>
      </c>
      <c r="W20" s="64">
        <v>192.8</v>
      </c>
      <c r="X20" s="64">
        <v>170.8</v>
      </c>
      <c r="Y20" s="64">
        <v>162.4</v>
      </c>
      <c r="Z20" s="64">
        <v>169.6</v>
      </c>
      <c r="AA20" s="64">
        <v>165.5</v>
      </c>
      <c r="AB20" s="64">
        <v>165.7</v>
      </c>
      <c r="AC20" s="64">
        <v>161.80000000000001</v>
      </c>
      <c r="AD20" s="64">
        <v>172.2</v>
      </c>
      <c r="AE20" s="64">
        <v>156.9</v>
      </c>
      <c r="AF20" s="64">
        <v>162.1</v>
      </c>
      <c r="AG20" s="64">
        <v>165.4</v>
      </c>
      <c r="AH20" s="64">
        <v>164.4</v>
      </c>
      <c r="AI20" s="64">
        <v>163.5</v>
      </c>
      <c r="AJ20" s="64">
        <v>166.1</v>
      </c>
    </row>
    <row r="21" spans="1:36" ht="18.75">
      <c r="A21" s="64">
        <v>2022</v>
      </c>
      <c r="B21" s="64" t="s">
        <v>191</v>
      </c>
      <c r="C21" s="131">
        <v>89613.478577777802</v>
      </c>
      <c r="D21" s="133"/>
      <c r="E21" s="47"/>
      <c r="G21" s="64" t="s">
        <v>34</v>
      </c>
      <c r="H21" s="64">
        <v>2022</v>
      </c>
      <c r="I21" s="64" t="s">
        <v>36</v>
      </c>
      <c r="J21" s="64">
        <v>151.30000000000001</v>
      </c>
      <c r="K21" s="64">
        <v>210.7</v>
      </c>
      <c r="L21" s="64">
        <v>167.8</v>
      </c>
      <c r="M21" s="64">
        <v>162.19999999999999</v>
      </c>
      <c r="N21" s="64">
        <v>194.6</v>
      </c>
      <c r="O21" s="64">
        <v>157.6</v>
      </c>
      <c r="P21" s="64">
        <v>166.9</v>
      </c>
      <c r="Q21" s="64">
        <v>163.9</v>
      </c>
      <c r="R21" s="64">
        <v>118.8</v>
      </c>
      <c r="S21" s="64">
        <v>177.4</v>
      </c>
      <c r="T21" s="64">
        <v>165.3</v>
      </c>
      <c r="U21" s="64">
        <v>179.3</v>
      </c>
      <c r="V21" s="64">
        <v>168.4</v>
      </c>
      <c r="W21" s="64">
        <v>193.7</v>
      </c>
      <c r="X21" s="64">
        <v>172.1</v>
      </c>
      <c r="Y21" s="64">
        <v>164.6</v>
      </c>
      <c r="Z21" s="64">
        <v>171.1</v>
      </c>
      <c r="AA21" s="64">
        <v>165.3</v>
      </c>
      <c r="AB21" s="64">
        <v>167.2</v>
      </c>
      <c r="AC21" s="64">
        <v>162.80000000000001</v>
      </c>
      <c r="AD21" s="64">
        <v>173</v>
      </c>
      <c r="AE21" s="64">
        <v>157.9</v>
      </c>
      <c r="AF21" s="64">
        <v>163.30000000000001</v>
      </c>
      <c r="AG21" s="64">
        <v>166</v>
      </c>
      <c r="AH21" s="64">
        <v>167.2</v>
      </c>
      <c r="AI21" s="64">
        <v>164.6</v>
      </c>
      <c r="AJ21" s="64">
        <v>167.7</v>
      </c>
    </row>
    <row r="22" spans="1:36" ht="18.75">
      <c r="A22" s="64">
        <v>2022</v>
      </c>
      <c r="B22" s="64" t="s">
        <v>180</v>
      </c>
      <c r="C22" s="131">
        <v>128800.06584154999</v>
      </c>
      <c r="D22" s="133"/>
      <c r="E22" s="47"/>
      <c r="G22" s="64" t="s">
        <v>34</v>
      </c>
      <c r="H22" s="64">
        <v>2022</v>
      </c>
      <c r="I22" s="64" t="s">
        <v>37</v>
      </c>
      <c r="J22" s="64">
        <v>152.9</v>
      </c>
      <c r="K22" s="64">
        <v>211.8</v>
      </c>
      <c r="L22" s="64">
        <v>164.5</v>
      </c>
      <c r="M22" s="64">
        <v>163.9</v>
      </c>
      <c r="N22" s="64">
        <v>199.5</v>
      </c>
      <c r="O22" s="64">
        <v>172.6</v>
      </c>
      <c r="P22" s="64">
        <v>166.2</v>
      </c>
      <c r="Q22" s="64">
        <v>164.7</v>
      </c>
      <c r="R22" s="64">
        <v>119</v>
      </c>
      <c r="S22" s="64">
        <v>181.3</v>
      </c>
      <c r="T22" s="64">
        <v>166.2</v>
      </c>
      <c r="U22" s="64">
        <v>180.9</v>
      </c>
      <c r="V22" s="64">
        <v>170.8</v>
      </c>
      <c r="W22" s="64">
        <v>193.9</v>
      </c>
      <c r="X22" s="64">
        <v>173.9</v>
      </c>
      <c r="Y22" s="64">
        <v>166.5</v>
      </c>
      <c r="Z22" s="64">
        <v>172.8</v>
      </c>
      <c r="AA22" s="64">
        <v>167</v>
      </c>
      <c r="AB22" s="64">
        <v>172.2</v>
      </c>
      <c r="AC22" s="64">
        <v>164</v>
      </c>
      <c r="AD22" s="64">
        <v>174</v>
      </c>
      <c r="AE22" s="64">
        <v>162.6</v>
      </c>
      <c r="AF22" s="64">
        <v>164.4</v>
      </c>
      <c r="AG22" s="64">
        <v>166.9</v>
      </c>
      <c r="AH22" s="64">
        <v>168.8</v>
      </c>
      <c r="AI22" s="64">
        <v>166.8</v>
      </c>
      <c r="AJ22" s="64">
        <v>170.1</v>
      </c>
    </row>
    <row r="23" spans="1:36" ht="18.75">
      <c r="A23" s="64">
        <v>2022</v>
      </c>
      <c r="B23" s="64" t="s">
        <v>181</v>
      </c>
      <c r="C23" s="131">
        <v>119633.62181054099</v>
      </c>
      <c r="D23" s="133"/>
      <c r="E23" s="47"/>
      <c r="G23" s="64" t="s">
        <v>34</v>
      </c>
      <c r="H23" s="64">
        <v>2022</v>
      </c>
      <c r="I23" s="64" t="s">
        <v>38</v>
      </c>
      <c r="J23" s="64">
        <v>154.1</v>
      </c>
      <c r="K23" s="64">
        <v>217</v>
      </c>
      <c r="L23" s="64">
        <v>162.4</v>
      </c>
      <c r="M23" s="64">
        <v>164.9</v>
      </c>
      <c r="N23" s="64">
        <v>202.4</v>
      </c>
      <c r="O23" s="64">
        <v>171</v>
      </c>
      <c r="P23" s="64">
        <v>174.9</v>
      </c>
      <c r="Q23" s="64">
        <v>164.7</v>
      </c>
      <c r="R23" s="64">
        <v>119.7</v>
      </c>
      <c r="S23" s="64">
        <v>184.9</v>
      </c>
      <c r="T23" s="64">
        <v>167.1</v>
      </c>
      <c r="U23" s="64">
        <v>182.5</v>
      </c>
      <c r="V23" s="64">
        <v>173.3</v>
      </c>
      <c r="W23" s="64">
        <v>194.1</v>
      </c>
      <c r="X23" s="64">
        <v>175.6</v>
      </c>
      <c r="Y23" s="64">
        <v>168.4</v>
      </c>
      <c r="Z23" s="64">
        <v>174.6</v>
      </c>
      <c r="AA23" s="64">
        <v>167.5</v>
      </c>
      <c r="AB23" s="64">
        <v>174.6</v>
      </c>
      <c r="AC23" s="64">
        <v>165.2</v>
      </c>
      <c r="AD23" s="64">
        <v>174.8</v>
      </c>
      <c r="AE23" s="64">
        <v>163</v>
      </c>
      <c r="AF23" s="64">
        <v>165.1</v>
      </c>
      <c r="AG23" s="64">
        <v>167.9</v>
      </c>
      <c r="AH23" s="64">
        <v>168.4</v>
      </c>
      <c r="AI23" s="64">
        <v>167.5</v>
      </c>
      <c r="AJ23" s="64">
        <v>171.7</v>
      </c>
    </row>
    <row r="24" spans="1:36" ht="18.75">
      <c r="A24" s="64">
        <v>2022</v>
      </c>
      <c r="B24" s="64" t="s">
        <v>182</v>
      </c>
      <c r="C24" s="131">
        <v>121897.639699565</v>
      </c>
      <c r="D24" s="133"/>
      <c r="E24" s="47"/>
      <c r="G24" s="64" t="s">
        <v>34</v>
      </c>
      <c r="H24" s="64">
        <v>2022</v>
      </c>
      <c r="I24" s="64" t="s">
        <v>39</v>
      </c>
      <c r="J24" s="64">
        <v>155</v>
      </c>
      <c r="K24" s="64">
        <v>219.4</v>
      </c>
      <c r="L24" s="64">
        <v>170.8</v>
      </c>
      <c r="M24" s="64">
        <v>165.8</v>
      </c>
      <c r="N24" s="64">
        <v>200.9</v>
      </c>
      <c r="O24" s="64">
        <v>169.7</v>
      </c>
      <c r="P24" s="64">
        <v>182.3</v>
      </c>
      <c r="Q24" s="64">
        <v>164.3</v>
      </c>
      <c r="R24" s="64">
        <v>119.9</v>
      </c>
      <c r="S24" s="64">
        <v>187.1</v>
      </c>
      <c r="T24" s="64">
        <v>167.9</v>
      </c>
      <c r="U24" s="64">
        <v>183.9</v>
      </c>
      <c r="V24" s="64">
        <v>174.9</v>
      </c>
      <c r="W24" s="64">
        <v>194.3</v>
      </c>
      <c r="X24" s="64">
        <v>177.1</v>
      </c>
      <c r="Y24" s="64">
        <v>169.9</v>
      </c>
      <c r="Z24" s="64">
        <v>176</v>
      </c>
      <c r="AA24" s="64">
        <v>166.8</v>
      </c>
      <c r="AB24" s="64">
        <v>176</v>
      </c>
      <c r="AC24" s="64">
        <v>166.4</v>
      </c>
      <c r="AD24" s="64">
        <v>175.4</v>
      </c>
      <c r="AE24" s="64">
        <v>161.1</v>
      </c>
      <c r="AF24" s="64">
        <v>165.8</v>
      </c>
      <c r="AG24" s="64">
        <v>169</v>
      </c>
      <c r="AH24" s="64">
        <v>169.4</v>
      </c>
      <c r="AI24" s="64">
        <v>167.5</v>
      </c>
      <c r="AJ24" s="64">
        <v>172.6</v>
      </c>
    </row>
    <row r="25" spans="1:36" ht="18.75">
      <c r="A25" s="64">
        <v>2022</v>
      </c>
      <c r="B25" s="64" t="s">
        <v>183</v>
      </c>
      <c r="C25" s="131">
        <v>128755.464902629</v>
      </c>
      <c r="D25" s="133"/>
      <c r="E25" s="47"/>
      <c r="G25" s="64" t="s">
        <v>34</v>
      </c>
      <c r="H25" s="64">
        <v>2022</v>
      </c>
      <c r="I25" s="64" t="s">
        <v>40</v>
      </c>
      <c r="J25" s="64">
        <v>156.5</v>
      </c>
      <c r="K25" s="64">
        <v>213</v>
      </c>
      <c r="L25" s="64">
        <v>175.2</v>
      </c>
      <c r="M25" s="64">
        <v>166.6</v>
      </c>
      <c r="N25" s="64">
        <v>195.8</v>
      </c>
      <c r="O25" s="64">
        <v>174.2</v>
      </c>
      <c r="P25" s="64">
        <v>182.1</v>
      </c>
      <c r="Q25" s="64">
        <v>164.3</v>
      </c>
      <c r="R25" s="64">
        <v>120</v>
      </c>
      <c r="S25" s="64">
        <v>190</v>
      </c>
      <c r="T25" s="64">
        <v>168.4</v>
      </c>
      <c r="U25" s="64">
        <v>185.2</v>
      </c>
      <c r="V25" s="64">
        <v>175</v>
      </c>
      <c r="W25" s="64">
        <v>194.6</v>
      </c>
      <c r="X25" s="64">
        <v>178.3</v>
      </c>
      <c r="Y25" s="64">
        <v>171.3</v>
      </c>
      <c r="Z25" s="64">
        <v>177.3</v>
      </c>
      <c r="AA25" s="64">
        <v>167.8</v>
      </c>
      <c r="AB25" s="64">
        <v>179.6</v>
      </c>
      <c r="AC25" s="64">
        <v>167.4</v>
      </c>
      <c r="AD25" s="64">
        <v>176.1</v>
      </c>
      <c r="AE25" s="64">
        <v>161.6</v>
      </c>
      <c r="AF25" s="64">
        <v>166.3</v>
      </c>
      <c r="AG25" s="64">
        <v>171.4</v>
      </c>
      <c r="AH25" s="64">
        <v>169.7</v>
      </c>
      <c r="AI25" s="64">
        <v>168.4</v>
      </c>
      <c r="AJ25" s="64">
        <v>173.4</v>
      </c>
    </row>
    <row r="26" spans="1:36" ht="18.75">
      <c r="A26" s="64">
        <v>2022</v>
      </c>
      <c r="B26" s="64" t="s">
        <v>184</v>
      </c>
      <c r="C26" s="131">
        <v>104567.31614182099</v>
      </c>
      <c r="D26" s="133"/>
      <c r="E26" s="47"/>
      <c r="G26" s="64" t="s">
        <v>34</v>
      </c>
      <c r="H26" s="64">
        <v>2022</v>
      </c>
      <c r="I26" s="64" t="s">
        <v>41</v>
      </c>
      <c r="J26" s="64">
        <v>160.30000000000001</v>
      </c>
      <c r="K26" s="64">
        <v>206.5</v>
      </c>
      <c r="L26" s="64">
        <v>169.2</v>
      </c>
      <c r="M26" s="64">
        <v>168.1</v>
      </c>
      <c r="N26" s="64">
        <v>192.4</v>
      </c>
      <c r="O26" s="64">
        <v>172.9</v>
      </c>
      <c r="P26" s="64">
        <v>186.7</v>
      </c>
      <c r="Q26" s="64">
        <v>167.2</v>
      </c>
      <c r="R26" s="64">
        <v>120.9</v>
      </c>
      <c r="S26" s="64">
        <v>193.6</v>
      </c>
      <c r="T26" s="64">
        <v>168.8</v>
      </c>
      <c r="U26" s="64">
        <v>186.3</v>
      </c>
      <c r="V26" s="64">
        <v>176.3</v>
      </c>
      <c r="W26" s="64">
        <v>195</v>
      </c>
      <c r="X26" s="64">
        <v>179.5</v>
      </c>
      <c r="Y26" s="64">
        <v>172.7</v>
      </c>
      <c r="Z26" s="64">
        <v>178.5</v>
      </c>
      <c r="AA26" s="64">
        <v>169</v>
      </c>
      <c r="AB26" s="64">
        <v>178.8</v>
      </c>
      <c r="AC26" s="64">
        <v>168.5</v>
      </c>
      <c r="AD26" s="64">
        <v>176.8</v>
      </c>
      <c r="AE26" s="64">
        <v>161.9</v>
      </c>
      <c r="AF26" s="64">
        <v>166.9</v>
      </c>
      <c r="AG26" s="64">
        <v>172.3</v>
      </c>
      <c r="AH26" s="64">
        <v>171.2</v>
      </c>
      <c r="AI26" s="64">
        <v>169.1</v>
      </c>
      <c r="AJ26" s="64">
        <v>174.3</v>
      </c>
    </row>
    <row r="27" spans="1:36" ht="18.75">
      <c r="A27" s="64">
        <v>2022</v>
      </c>
      <c r="B27" s="64" t="s">
        <v>185</v>
      </c>
      <c r="C27" s="131">
        <v>95157.741525290694</v>
      </c>
      <c r="D27" s="133"/>
      <c r="E27" s="47"/>
      <c r="G27" s="64" t="s">
        <v>34</v>
      </c>
      <c r="H27" s="64">
        <v>2022</v>
      </c>
      <c r="I27" s="64" t="s">
        <v>42</v>
      </c>
      <c r="J27" s="64">
        <v>163.5</v>
      </c>
      <c r="K27" s="64">
        <v>209.2</v>
      </c>
      <c r="L27" s="64">
        <v>169.7</v>
      </c>
      <c r="M27" s="64">
        <v>169.7</v>
      </c>
      <c r="N27" s="64">
        <v>188.7</v>
      </c>
      <c r="O27" s="64">
        <v>165.7</v>
      </c>
      <c r="P27" s="64">
        <v>191.8</v>
      </c>
      <c r="Q27" s="64">
        <v>169.1</v>
      </c>
      <c r="R27" s="64">
        <v>121.6</v>
      </c>
      <c r="S27" s="64">
        <v>197.3</v>
      </c>
      <c r="T27" s="64">
        <v>169.4</v>
      </c>
      <c r="U27" s="64">
        <v>187.4</v>
      </c>
      <c r="V27" s="64">
        <v>177.8</v>
      </c>
      <c r="W27" s="64">
        <v>195.9</v>
      </c>
      <c r="X27" s="64">
        <v>180.9</v>
      </c>
      <c r="Y27" s="64">
        <v>174.3</v>
      </c>
      <c r="Z27" s="64">
        <v>179.9</v>
      </c>
      <c r="AA27" s="64">
        <v>169.5</v>
      </c>
      <c r="AB27" s="64">
        <v>179.5</v>
      </c>
      <c r="AC27" s="64">
        <v>169.5</v>
      </c>
      <c r="AD27" s="64">
        <v>177.8</v>
      </c>
      <c r="AE27" s="64">
        <v>162.30000000000001</v>
      </c>
      <c r="AF27" s="64">
        <v>167.6</v>
      </c>
      <c r="AG27" s="64">
        <v>173.1</v>
      </c>
      <c r="AH27" s="64">
        <v>170.9</v>
      </c>
      <c r="AI27" s="64">
        <v>169.7</v>
      </c>
      <c r="AJ27" s="64">
        <v>175.3</v>
      </c>
    </row>
    <row r="28" spans="1:36" ht="18.75">
      <c r="A28" s="64">
        <v>2022</v>
      </c>
      <c r="B28" s="64" t="s">
        <v>186</v>
      </c>
      <c r="C28" s="131">
        <v>99194.385511237793</v>
      </c>
      <c r="D28" s="133"/>
      <c r="E28" s="47"/>
      <c r="G28" s="64" t="s">
        <v>34</v>
      </c>
      <c r="H28" s="64">
        <v>2022</v>
      </c>
      <c r="I28" s="64" t="s">
        <v>43</v>
      </c>
      <c r="J28" s="64">
        <v>165.2</v>
      </c>
      <c r="K28" s="64">
        <v>210.9</v>
      </c>
      <c r="L28" s="64">
        <v>170.9</v>
      </c>
      <c r="M28" s="64">
        <v>170.9</v>
      </c>
      <c r="N28" s="64">
        <v>186.5</v>
      </c>
      <c r="O28" s="64">
        <v>163.80000000000001</v>
      </c>
      <c r="P28" s="64">
        <v>199.7</v>
      </c>
      <c r="Q28" s="64">
        <v>169.8</v>
      </c>
      <c r="R28" s="64">
        <v>121.9</v>
      </c>
      <c r="S28" s="64">
        <v>199.9</v>
      </c>
      <c r="T28" s="64">
        <v>169.9</v>
      </c>
      <c r="U28" s="64">
        <v>188.3</v>
      </c>
      <c r="V28" s="64">
        <v>179.6</v>
      </c>
      <c r="W28" s="64">
        <v>196.3</v>
      </c>
      <c r="X28" s="64">
        <v>181.9</v>
      </c>
      <c r="Y28" s="64">
        <v>175.3</v>
      </c>
      <c r="Z28" s="64">
        <v>181</v>
      </c>
      <c r="AA28" s="64">
        <v>171.2</v>
      </c>
      <c r="AB28" s="64">
        <v>180.5</v>
      </c>
      <c r="AC28" s="64">
        <v>170.4</v>
      </c>
      <c r="AD28" s="64">
        <v>178.7</v>
      </c>
      <c r="AE28" s="64">
        <v>162.9</v>
      </c>
      <c r="AF28" s="64">
        <v>168.2</v>
      </c>
      <c r="AG28" s="64">
        <v>173.4</v>
      </c>
      <c r="AH28" s="64">
        <v>172.1</v>
      </c>
      <c r="AI28" s="64">
        <v>170.5</v>
      </c>
      <c r="AJ28" s="64">
        <v>176.7</v>
      </c>
    </row>
    <row r="29" spans="1:36" ht="18.75">
      <c r="A29" s="64">
        <v>2022</v>
      </c>
      <c r="B29" s="64" t="s">
        <v>187</v>
      </c>
      <c r="C29" s="131">
        <v>100258.759184423</v>
      </c>
      <c r="D29" s="133"/>
      <c r="E29" s="47"/>
      <c r="G29" s="64" t="s">
        <v>34</v>
      </c>
      <c r="H29" s="64">
        <v>2022</v>
      </c>
      <c r="I29" s="64" t="s">
        <v>45</v>
      </c>
      <c r="J29" s="64">
        <v>167.4</v>
      </c>
      <c r="K29" s="64">
        <v>209.4</v>
      </c>
      <c r="L29" s="64">
        <v>181.4</v>
      </c>
      <c r="M29" s="64">
        <v>172.3</v>
      </c>
      <c r="N29" s="64">
        <v>188.9</v>
      </c>
      <c r="O29" s="64">
        <v>160.69999999999999</v>
      </c>
      <c r="P29" s="64">
        <v>183.1</v>
      </c>
      <c r="Q29" s="64">
        <v>170.5</v>
      </c>
      <c r="R29" s="64">
        <v>122.1</v>
      </c>
      <c r="S29" s="64">
        <v>202.8</v>
      </c>
      <c r="T29" s="64">
        <v>170.4</v>
      </c>
      <c r="U29" s="64">
        <v>189.5</v>
      </c>
      <c r="V29" s="64">
        <v>178.3</v>
      </c>
      <c r="W29" s="64">
        <v>196.9</v>
      </c>
      <c r="X29" s="64">
        <v>183.1</v>
      </c>
      <c r="Y29" s="64">
        <v>176.2</v>
      </c>
      <c r="Z29" s="64">
        <v>182.1</v>
      </c>
      <c r="AA29" s="64">
        <v>171.8</v>
      </c>
      <c r="AB29" s="64">
        <v>181.3</v>
      </c>
      <c r="AC29" s="64">
        <v>171.4</v>
      </c>
      <c r="AD29" s="64">
        <v>179.8</v>
      </c>
      <c r="AE29" s="64">
        <v>163</v>
      </c>
      <c r="AF29" s="64">
        <v>168.5</v>
      </c>
      <c r="AG29" s="64">
        <v>173.7</v>
      </c>
      <c r="AH29" s="64">
        <v>173.6</v>
      </c>
      <c r="AI29" s="64">
        <v>171.1</v>
      </c>
      <c r="AJ29" s="64">
        <v>176.5</v>
      </c>
    </row>
    <row r="30" spans="1:36" ht="18.75">
      <c r="A30" s="64">
        <v>2022</v>
      </c>
      <c r="B30" s="64" t="s">
        <v>188</v>
      </c>
      <c r="C30" s="131">
        <v>94253.237400611397</v>
      </c>
      <c r="D30" s="133"/>
      <c r="E30" s="47"/>
      <c r="G30" s="64" t="s">
        <v>34</v>
      </c>
      <c r="H30" s="64">
        <v>2022</v>
      </c>
      <c r="I30" s="64" t="s">
        <v>46</v>
      </c>
      <c r="J30" s="64">
        <v>169.2</v>
      </c>
      <c r="K30" s="64">
        <v>209</v>
      </c>
      <c r="L30" s="64">
        <v>190.2</v>
      </c>
      <c r="M30" s="64">
        <v>173.6</v>
      </c>
      <c r="N30" s="64">
        <v>188.5</v>
      </c>
      <c r="O30" s="64">
        <v>158</v>
      </c>
      <c r="P30" s="64">
        <v>159.9</v>
      </c>
      <c r="Q30" s="64">
        <v>170.8</v>
      </c>
      <c r="R30" s="64">
        <v>121.8</v>
      </c>
      <c r="S30" s="64">
        <v>205.2</v>
      </c>
      <c r="T30" s="64">
        <v>171</v>
      </c>
      <c r="U30" s="64">
        <v>190.3</v>
      </c>
      <c r="V30" s="64">
        <v>175.9</v>
      </c>
      <c r="W30" s="64">
        <v>197.3</v>
      </c>
      <c r="X30" s="64">
        <v>184</v>
      </c>
      <c r="Y30" s="64">
        <v>177</v>
      </c>
      <c r="Z30" s="64">
        <v>183</v>
      </c>
      <c r="AA30" s="64">
        <v>170.7</v>
      </c>
      <c r="AB30" s="64">
        <v>182</v>
      </c>
      <c r="AC30" s="64">
        <v>172.1</v>
      </c>
      <c r="AD30" s="64">
        <v>181.1</v>
      </c>
      <c r="AE30" s="64">
        <v>163.4</v>
      </c>
      <c r="AF30" s="64">
        <v>168.9</v>
      </c>
      <c r="AG30" s="64">
        <v>174.1</v>
      </c>
      <c r="AH30" s="64">
        <v>175.8</v>
      </c>
      <c r="AI30" s="64">
        <v>172</v>
      </c>
      <c r="AJ30" s="64">
        <v>175.7</v>
      </c>
    </row>
    <row r="31" spans="1:36" ht="18.75">
      <c r="A31" s="64">
        <v>2023</v>
      </c>
      <c r="B31" s="64" t="s">
        <v>189</v>
      </c>
      <c r="C31" s="131">
        <v>101436.000144005</v>
      </c>
      <c r="D31" s="133"/>
      <c r="E31" s="47"/>
      <c r="G31" s="64" t="s">
        <v>34</v>
      </c>
      <c r="H31" s="64">
        <v>2023</v>
      </c>
      <c r="I31" s="64" t="s">
        <v>31</v>
      </c>
      <c r="J31" s="64">
        <v>173.8</v>
      </c>
      <c r="K31" s="64">
        <v>210.7</v>
      </c>
      <c r="L31" s="64">
        <v>194.5</v>
      </c>
      <c r="M31" s="64">
        <v>174.6</v>
      </c>
      <c r="N31" s="64">
        <v>187.2</v>
      </c>
      <c r="O31" s="64">
        <v>158.30000000000001</v>
      </c>
      <c r="P31" s="64">
        <v>153.9</v>
      </c>
      <c r="Q31" s="64">
        <v>170.9</v>
      </c>
      <c r="R31" s="64">
        <v>121.1</v>
      </c>
      <c r="S31" s="64">
        <v>208.4</v>
      </c>
      <c r="T31" s="64">
        <v>171.4</v>
      </c>
      <c r="U31" s="64">
        <v>191.2</v>
      </c>
      <c r="V31" s="64">
        <v>176.7</v>
      </c>
      <c r="W31" s="64">
        <v>198.2</v>
      </c>
      <c r="X31" s="64">
        <v>184.9</v>
      </c>
      <c r="Y31" s="64">
        <v>177.6</v>
      </c>
      <c r="Z31" s="64">
        <v>183.8</v>
      </c>
      <c r="AA31" s="64">
        <v>172.1</v>
      </c>
      <c r="AB31" s="64">
        <v>182</v>
      </c>
      <c r="AC31" s="64">
        <v>172.9</v>
      </c>
      <c r="AD31" s="64">
        <v>182.3</v>
      </c>
      <c r="AE31" s="64">
        <v>163.6</v>
      </c>
      <c r="AF31" s="64">
        <v>169.5</v>
      </c>
      <c r="AG31" s="64">
        <v>174.3</v>
      </c>
      <c r="AH31" s="64">
        <v>178.6</v>
      </c>
      <c r="AI31" s="64">
        <v>172.8</v>
      </c>
      <c r="AJ31" s="64">
        <v>176.5</v>
      </c>
    </row>
    <row r="32" spans="1:36" ht="18.75">
      <c r="A32" s="64">
        <v>2023</v>
      </c>
      <c r="B32" s="64" t="s">
        <v>190</v>
      </c>
      <c r="C32" s="131">
        <v>84496.994328354005</v>
      </c>
      <c r="D32" s="133"/>
      <c r="E32" s="47"/>
      <c r="G32" s="64" t="s">
        <v>34</v>
      </c>
      <c r="H32" s="64">
        <v>2023</v>
      </c>
      <c r="I32" s="64" t="s">
        <v>35</v>
      </c>
      <c r="J32" s="64">
        <v>174.4</v>
      </c>
      <c r="K32" s="64">
        <v>207.7</v>
      </c>
      <c r="L32" s="64">
        <v>175.2</v>
      </c>
      <c r="M32" s="64">
        <v>177.3</v>
      </c>
      <c r="N32" s="64">
        <v>179.3</v>
      </c>
      <c r="O32" s="64">
        <v>169.5</v>
      </c>
      <c r="P32" s="64">
        <v>152.69999999999999</v>
      </c>
      <c r="Q32" s="64">
        <v>171</v>
      </c>
      <c r="R32" s="64">
        <v>120</v>
      </c>
      <c r="S32" s="64">
        <v>209.7</v>
      </c>
      <c r="T32" s="64">
        <v>172.3</v>
      </c>
      <c r="U32" s="64">
        <v>193</v>
      </c>
      <c r="V32" s="64">
        <v>177</v>
      </c>
      <c r="W32" s="64">
        <v>199.5</v>
      </c>
      <c r="X32" s="64">
        <v>186.2</v>
      </c>
      <c r="Y32" s="64">
        <v>178.7</v>
      </c>
      <c r="Z32" s="64">
        <v>185.1</v>
      </c>
      <c r="AA32" s="64">
        <v>175.2</v>
      </c>
      <c r="AB32" s="64">
        <v>182.1</v>
      </c>
      <c r="AC32" s="64">
        <v>174.2</v>
      </c>
      <c r="AD32" s="64">
        <v>184.4</v>
      </c>
      <c r="AE32" s="64">
        <v>164.2</v>
      </c>
      <c r="AF32" s="64">
        <v>170.3</v>
      </c>
      <c r="AG32" s="64">
        <v>175</v>
      </c>
      <c r="AH32" s="64">
        <v>181</v>
      </c>
      <c r="AI32" s="64">
        <v>174.1</v>
      </c>
      <c r="AJ32" s="64">
        <v>177.2</v>
      </c>
    </row>
    <row r="33" spans="1:36" ht="18.75">
      <c r="A33" s="64">
        <v>2023</v>
      </c>
      <c r="B33" s="64" t="s">
        <v>191</v>
      </c>
      <c r="C33" s="131">
        <v>100359.03501725401</v>
      </c>
      <c r="D33" s="133"/>
      <c r="E33" s="47"/>
      <c r="G33" s="64" t="s">
        <v>34</v>
      </c>
      <c r="H33" s="64">
        <v>2023</v>
      </c>
      <c r="I33" s="64" t="s">
        <v>36</v>
      </c>
      <c r="J33" s="64">
        <v>174.4</v>
      </c>
      <c r="K33" s="64">
        <v>207.7</v>
      </c>
      <c r="L33" s="64">
        <v>175.2</v>
      </c>
      <c r="M33" s="64">
        <v>177.3</v>
      </c>
      <c r="N33" s="64">
        <v>179.2</v>
      </c>
      <c r="O33" s="64">
        <v>169.5</v>
      </c>
      <c r="P33" s="64">
        <v>152.80000000000001</v>
      </c>
      <c r="Q33" s="64">
        <v>171.1</v>
      </c>
      <c r="R33" s="64">
        <v>120</v>
      </c>
      <c r="S33" s="64">
        <v>209.7</v>
      </c>
      <c r="T33" s="64">
        <v>172.3</v>
      </c>
      <c r="U33" s="64">
        <v>193</v>
      </c>
      <c r="V33" s="64">
        <v>177</v>
      </c>
      <c r="W33" s="64">
        <v>199.5</v>
      </c>
      <c r="X33" s="64">
        <v>186.1</v>
      </c>
      <c r="Y33" s="64">
        <v>178.7</v>
      </c>
      <c r="Z33" s="64">
        <v>185.1</v>
      </c>
      <c r="AA33" s="64">
        <v>173.5</v>
      </c>
      <c r="AB33" s="64">
        <v>181.9</v>
      </c>
      <c r="AC33" s="64">
        <v>174.2</v>
      </c>
      <c r="AD33" s="64">
        <v>184.4</v>
      </c>
      <c r="AE33" s="64">
        <v>164.2</v>
      </c>
      <c r="AF33" s="64">
        <v>170.3</v>
      </c>
      <c r="AG33" s="64">
        <v>175</v>
      </c>
      <c r="AH33" s="64">
        <v>181</v>
      </c>
      <c r="AI33" s="64">
        <v>174.1</v>
      </c>
      <c r="AJ33" s="64">
        <v>177.2</v>
      </c>
    </row>
    <row r="34" spans="1:36" ht="18.75">
      <c r="A34" s="64">
        <v>2023</v>
      </c>
      <c r="B34" s="64" t="s">
        <v>180</v>
      </c>
      <c r="C34" s="131">
        <v>89110.692374873193</v>
      </c>
      <c r="D34" s="133"/>
      <c r="E34" s="47"/>
      <c r="G34" s="64" t="s">
        <v>34</v>
      </c>
      <c r="H34" s="64">
        <v>2023</v>
      </c>
      <c r="I34" s="64" t="s">
        <v>37</v>
      </c>
      <c r="J34" s="64">
        <v>173.8</v>
      </c>
      <c r="K34" s="64">
        <v>209.3</v>
      </c>
      <c r="L34" s="64">
        <v>169.6</v>
      </c>
      <c r="M34" s="64">
        <v>178.4</v>
      </c>
      <c r="N34" s="64">
        <v>174.9</v>
      </c>
      <c r="O34" s="64">
        <v>176.3</v>
      </c>
      <c r="P34" s="64">
        <v>155.4</v>
      </c>
      <c r="Q34" s="64">
        <v>173.4</v>
      </c>
      <c r="R34" s="64">
        <v>121.3</v>
      </c>
      <c r="S34" s="64">
        <v>212.9</v>
      </c>
      <c r="T34" s="64">
        <v>172.9</v>
      </c>
      <c r="U34" s="64">
        <v>193.5</v>
      </c>
      <c r="V34" s="64">
        <v>177.9</v>
      </c>
      <c r="W34" s="64">
        <v>200.6</v>
      </c>
      <c r="X34" s="64">
        <v>186.9</v>
      </c>
      <c r="Y34" s="64">
        <v>179.2</v>
      </c>
      <c r="Z34" s="64">
        <v>185.7</v>
      </c>
      <c r="AA34" s="64">
        <v>175.2</v>
      </c>
      <c r="AB34" s="64">
        <v>181.7</v>
      </c>
      <c r="AC34" s="64">
        <v>174.6</v>
      </c>
      <c r="AD34" s="64">
        <v>185</v>
      </c>
      <c r="AE34" s="64">
        <v>164.5</v>
      </c>
      <c r="AF34" s="64">
        <v>170.7</v>
      </c>
      <c r="AG34" s="64">
        <v>176.4</v>
      </c>
      <c r="AH34" s="64">
        <v>184</v>
      </c>
      <c r="AI34" s="64">
        <v>175</v>
      </c>
      <c r="AJ34" s="64">
        <v>178.1</v>
      </c>
    </row>
    <row r="35" spans="1:36">
      <c r="A35" s="64">
        <v>2023</v>
      </c>
      <c r="B35" s="64" t="s">
        <v>181</v>
      </c>
      <c r="C35" s="131">
        <v>87422.236418291999</v>
      </c>
      <c r="D35" s="132"/>
      <c r="G35" s="64" t="s">
        <v>34</v>
      </c>
      <c r="H35" s="64">
        <v>2023</v>
      </c>
      <c r="I35" s="64" t="s">
        <v>38</v>
      </c>
      <c r="J35" s="64">
        <v>173.7</v>
      </c>
      <c r="K35" s="64">
        <v>214.3</v>
      </c>
      <c r="L35" s="64">
        <v>173.2</v>
      </c>
      <c r="M35" s="64">
        <v>179.5</v>
      </c>
      <c r="N35" s="64">
        <v>170</v>
      </c>
      <c r="O35" s="64">
        <v>172.2</v>
      </c>
      <c r="P35" s="64">
        <v>161</v>
      </c>
      <c r="Q35" s="64">
        <v>175.6</v>
      </c>
      <c r="R35" s="64">
        <v>122.7</v>
      </c>
      <c r="S35" s="64">
        <v>218</v>
      </c>
      <c r="T35" s="64">
        <v>173.4</v>
      </c>
      <c r="U35" s="64">
        <v>194.2</v>
      </c>
      <c r="V35" s="64">
        <v>179.1</v>
      </c>
      <c r="W35" s="64">
        <v>201</v>
      </c>
      <c r="X35" s="64">
        <v>187.3</v>
      </c>
      <c r="Y35" s="64">
        <v>179.7</v>
      </c>
      <c r="Z35" s="64">
        <v>186.2</v>
      </c>
      <c r="AA35" s="64">
        <v>175.6</v>
      </c>
      <c r="AB35" s="64">
        <v>182.8</v>
      </c>
      <c r="AC35" s="64">
        <v>175.2</v>
      </c>
      <c r="AD35" s="64">
        <v>185.7</v>
      </c>
      <c r="AE35" s="64">
        <v>164.8</v>
      </c>
      <c r="AF35" s="64">
        <v>171.2</v>
      </c>
      <c r="AG35" s="64">
        <v>177.1</v>
      </c>
      <c r="AH35" s="64">
        <v>185.2</v>
      </c>
      <c r="AI35" s="64">
        <v>175.7</v>
      </c>
      <c r="AJ35" s="64">
        <v>179.1</v>
      </c>
    </row>
    <row r="38" spans="1:36">
      <c r="B38" s="56"/>
      <c r="H38" s="4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1:36" ht="18.75">
      <c r="B39" s="135" t="s">
        <v>239</v>
      </c>
      <c r="C39" s="140" t="s">
        <v>238</v>
      </c>
    </row>
    <row r="40" spans="1:36">
      <c r="B40" s="134" t="s">
        <v>3</v>
      </c>
      <c r="C40" s="137">
        <f>CORREL($C$7:$C$35,J7:J35)</f>
        <v>0.34006209109281516</v>
      </c>
    </row>
    <row r="41" spans="1:36">
      <c r="B41" s="134" t="s">
        <v>4</v>
      </c>
      <c r="C41" s="137">
        <f>CORREL($C$7:$C$35,K7:K35)</f>
        <v>0.44175237782039489</v>
      </c>
    </row>
    <row r="42" spans="1:36">
      <c r="B42" s="138" t="s">
        <v>5</v>
      </c>
      <c r="C42" s="139">
        <f>CORREL($C$7:$C$35,L7:L35)</f>
        <v>-0.17774854071947588</v>
      </c>
      <c r="G42" s="21"/>
      <c r="H42" s="21"/>
      <c r="I42" s="21"/>
      <c r="J42" s="21"/>
    </row>
    <row r="43" spans="1:36">
      <c r="B43" s="134" t="s">
        <v>6</v>
      </c>
      <c r="C43" s="137">
        <f>CORREL($C$7:$C$35,M7:M35)</f>
        <v>0.38824648190848432</v>
      </c>
      <c r="G43" s="21"/>
      <c r="H43" s="21"/>
      <c r="I43" s="21"/>
      <c r="J43" s="21"/>
    </row>
    <row r="44" spans="1:36">
      <c r="B44" s="134" t="s">
        <v>7</v>
      </c>
      <c r="C44" s="137">
        <f>CORREL($C$7:$C$35,N7:N35)</f>
        <v>0.35004340840011133</v>
      </c>
      <c r="G44" s="21"/>
      <c r="H44" s="21"/>
      <c r="I44" s="21"/>
      <c r="J44" s="21"/>
    </row>
    <row r="45" spans="1:36">
      <c r="B45" s="134" t="s">
        <v>8</v>
      </c>
      <c r="C45" s="137">
        <f>CORREL($C$7:$C$35,O7:O35)</f>
        <v>0.34991429337518803</v>
      </c>
      <c r="D45" s="48"/>
      <c r="E45" s="48"/>
      <c r="F45" s="48"/>
    </row>
    <row r="46" spans="1:36">
      <c r="B46" s="134" t="s">
        <v>9</v>
      </c>
      <c r="C46" s="137">
        <f>CORREL($C$7:$C$35,P7:P35)</f>
        <v>0.26035409695922324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36">
      <c r="B47" s="134" t="s">
        <v>10</v>
      </c>
      <c r="C47" s="137">
        <f>CORREL($C$7:$C$35,Q7:Q35)</f>
        <v>8.084568233932507E-2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</row>
    <row r="48" spans="1:36">
      <c r="B48" s="134" t="s">
        <v>11</v>
      </c>
      <c r="C48" s="137">
        <f>CORREL($C$7:$C$35,R7:R35)</f>
        <v>0.28396294079946582</v>
      </c>
      <c r="G48" s="48"/>
    </row>
    <row r="49" spans="2:3">
      <c r="B49" s="134" t="s">
        <v>12</v>
      </c>
      <c r="C49" s="137">
        <f>CORREL($C$7:$C$35,S7:S35)</f>
        <v>0.39835435073586312</v>
      </c>
    </row>
    <row r="50" spans="2:3">
      <c r="B50" s="134" t="s">
        <v>13</v>
      </c>
      <c r="C50" s="137">
        <f>CORREL($C$7:$C$35,T7:T35)</f>
        <v>0.40159891883146609</v>
      </c>
    </row>
    <row r="51" spans="2:3">
      <c r="B51" s="134" t="s">
        <v>14</v>
      </c>
      <c r="C51" s="137">
        <f>CORREL($C$7:$C$35,U7:U35)</f>
        <v>0.44387703280775181</v>
      </c>
    </row>
    <row r="52" spans="2:3">
      <c r="B52" s="134" t="s">
        <v>15</v>
      </c>
      <c r="C52" s="137">
        <f>CORREL($C$7:$C$35,V7:V35)</f>
        <v>0.48292824689801184</v>
      </c>
    </row>
    <row r="53" spans="2:3">
      <c r="B53" s="134" t="s">
        <v>16</v>
      </c>
      <c r="C53" s="137">
        <f>CORREL($C$7:$C$35,W7:W35)</f>
        <v>0.28268233323326969</v>
      </c>
    </row>
    <row r="54" spans="2:3">
      <c r="B54" s="134" t="s">
        <v>17</v>
      </c>
      <c r="C54" s="137">
        <f>CORREL($C$7:$C$35,X7:X35)</f>
        <v>0.46594536141993775</v>
      </c>
    </row>
    <row r="55" spans="2:3">
      <c r="B55" s="134" t="s">
        <v>18</v>
      </c>
      <c r="C55" s="137">
        <f>CORREL($C$7:$C$35,Y7:Y35)</f>
        <v>0.49647859809199807</v>
      </c>
    </row>
    <row r="56" spans="2:3">
      <c r="B56" s="134" t="s">
        <v>19</v>
      </c>
      <c r="C56" s="137">
        <f>CORREL($C$7:$C$35,Z7:Z35)</f>
        <v>0.47110545507559964</v>
      </c>
    </row>
    <row r="57" spans="2:3">
      <c r="B57" s="134" t="s">
        <v>20</v>
      </c>
      <c r="C57" s="137">
        <f>CORREL($C$7:$C$35,AA7:AA35)</f>
        <v>0.39383766454368296</v>
      </c>
    </row>
    <row r="58" spans="2:3">
      <c r="B58" s="172" t="s">
        <v>21</v>
      </c>
      <c r="C58" s="173">
        <f>CORREL($C$7:$C$35,AB7:AB35)</f>
        <v>0.50063172215669227</v>
      </c>
    </row>
    <row r="59" spans="2:3">
      <c r="B59" s="134" t="s">
        <v>22</v>
      </c>
      <c r="C59" s="137">
        <f>CORREL($C$7:$C$35,AC7:AC35)</f>
        <v>0.445790737879739</v>
      </c>
    </row>
    <row r="60" spans="2:3">
      <c r="B60" s="134" t="s">
        <v>23</v>
      </c>
      <c r="C60" s="137">
        <f>CORREL($C$7:$C$35,AD7:AD35)</f>
        <v>0.39010902535376213</v>
      </c>
    </row>
    <row r="61" spans="2:3">
      <c r="B61" s="172" t="s">
        <v>24</v>
      </c>
      <c r="C61" s="173">
        <f>CORREL($C$7:$C$35,AE7:AE35)</f>
        <v>0.4965966892553304</v>
      </c>
    </row>
    <row r="62" spans="2:3">
      <c r="B62" s="134" t="s">
        <v>25</v>
      </c>
      <c r="C62" s="137">
        <f>CORREL($C$7:$C$35,AF7:AF35)</f>
        <v>0.48756664966525992</v>
      </c>
    </row>
    <row r="63" spans="2:3">
      <c r="B63" s="134" t="s">
        <v>26</v>
      </c>
      <c r="C63" s="137">
        <f>CORREL($C$7:$C$35,AG7:AG35)</f>
        <v>0.42563603655320636</v>
      </c>
    </row>
    <row r="64" spans="2:3">
      <c r="B64" s="134" t="s">
        <v>27</v>
      </c>
      <c r="C64" s="137">
        <f>CORREL($C$7:$C$35,AH7:AH35)</f>
        <v>0.38566638127912767</v>
      </c>
    </row>
    <row r="65" spans="2:9">
      <c r="B65" s="134" t="s">
        <v>28</v>
      </c>
      <c r="C65" s="137">
        <f>CORREL($C$7:$C$35,AI7:AI35)</f>
        <v>0.44835375092326762</v>
      </c>
    </row>
    <row r="66" spans="2:9">
      <c r="B66" s="134" t="s">
        <v>29</v>
      </c>
      <c r="C66" s="137">
        <f>CORREL($C$7:$C$35,AJ7:AJ35)</f>
        <v>0.47276332727738241</v>
      </c>
    </row>
    <row r="67" spans="2:9" ht="21">
      <c r="E67" s="174"/>
      <c r="F67" s="175"/>
      <c r="G67" s="176" t="s">
        <v>244</v>
      </c>
      <c r="H67" s="176"/>
      <c r="I67" s="177"/>
    </row>
    <row r="68" spans="2:9">
      <c r="E68" s="178"/>
      <c r="F68" s="184"/>
      <c r="G68" s="179" t="s">
        <v>245</v>
      </c>
      <c r="H68" s="179"/>
      <c r="I68" s="180"/>
    </row>
    <row r="69" spans="2:9">
      <c r="E69" s="178"/>
      <c r="F69" s="184"/>
      <c r="G69" s="179" t="s">
        <v>21</v>
      </c>
      <c r="H69" s="179"/>
      <c r="I69" s="180"/>
    </row>
    <row r="70" spans="2:9">
      <c r="B70" t="str">
        <f t="shared" ref="B70:B76" si="0">_xlfn.CONCAT(H36,I36)</f>
        <v/>
      </c>
      <c r="E70" s="181"/>
      <c r="F70" s="182"/>
      <c r="G70" s="182"/>
      <c r="H70" s="182"/>
      <c r="I70" s="183"/>
    </row>
    <row r="71" spans="2:9">
      <c r="B71" t="str">
        <f t="shared" si="0"/>
        <v/>
      </c>
    </row>
    <row r="72" spans="2:9">
      <c r="B72" t="str">
        <f t="shared" si="0"/>
        <v/>
      </c>
    </row>
    <row r="73" spans="2:9">
      <c r="B73" t="str">
        <f t="shared" si="0"/>
        <v/>
      </c>
    </row>
    <row r="74" spans="2:9">
      <c r="B74" t="str">
        <f t="shared" si="0"/>
        <v/>
      </c>
    </row>
    <row r="75" spans="2:9">
      <c r="B75" t="str">
        <f t="shared" si="0"/>
        <v/>
      </c>
    </row>
    <row r="76" spans="2:9">
      <c r="B76" t="str">
        <f t="shared" si="0"/>
        <v/>
      </c>
    </row>
  </sheetData>
  <conditionalFormatting sqref="J37:AJ37">
    <cfRule type="top10" dxfId="2" priority="5" percent="1" rank="10"/>
  </conditionalFormatting>
  <conditionalFormatting sqref="J38:AJ38">
    <cfRule type="top10" dxfId="1" priority="4" percent="1" rank="10"/>
  </conditionalFormatting>
  <conditionalFormatting sqref="J39:AJ39">
    <cfRule type="top10" dxfId="0" priority="3" percent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data</vt:lpstr>
      <vt:lpstr>Data cleaning</vt:lpstr>
      <vt:lpstr>Category distribution</vt:lpstr>
      <vt:lpstr>Data after buckets</vt:lpstr>
      <vt:lpstr>Q.1</vt:lpstr>
      <vt:lpstr>Q.2</vt:lpstr>
      <vt:lpstr>Q.3 part a</vt:lpstr>
      <vt:lpstr>Q.3 part b</vt:lpstr>
      <vt:lpstr>Q.4</vt:lpstr>
      <vt:lpstr>Q.5 data</vt:lpstr>
      <vt:lpstr>Q.5a</vt:lpstr>
      <vt:lpstr>Q.5b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RM RUSHER</cp:lastModifiedBy>
  <dcterms:created xsi:type="dcterms:W3CDTF">2025-03-23T15:35:52Z</dcterms:created>
  <dcterms:modified xsi:type="dcterms:W3CDTF">2025-12-07T04:58:03Z</dcterms:modified>
</cp:coreProperties>
</file>